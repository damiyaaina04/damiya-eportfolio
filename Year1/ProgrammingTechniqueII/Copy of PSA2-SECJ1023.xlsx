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essements Form" sheetId="1" r:id="rId4"/>
    <sheet state="visible" name="Team Working Rubrics" sheetId="2" r:id="rId5"/>
    <sheet state="hidden" name="Groups" sheetId="3" r:id="rId6"/>
  </sheets>
  <definedNames/>
  <calcPr/>
</workbook>
</file>

<file path=xl/sharedStrings.xml><?xml version="1.0" encoding="utf-8"?>
<sst xmlns="http://schemas.openxmlformats.org/spreadsheetml/2006/main" count="176" uniqueCount="161">
  <si>
    <t>PROGRAMMING TECHNIQUE II (SCSJ1023 )</t>
  </si>
  <si>
    <t>Semester 1, 2022/2023</t>
  </si>
  <si>
    <t>Section 1 &amp; 2 (Dr. Jumail Bin Taliba)</t>
  </si>
  <si>
    <r>
      <rPr>
        <rFont val="Calibri"/>
        <b/>
        <color theme="0"/>
        <sz val="18.0"/>
      </rPr>
      <t xml:space="preserve">Peer and Self Assessment  (PSA2)
</t>
    </r>
    <r>
      <rPr>
        <rFont val="Calibri"/>
        <color theme="0"/>
        <sz val="18.0"/>
      </rPr>
      <t xml:space="preserve">PROBLEM ANALYSIS AND DESIGN
Your evaluation is </t>
    </r>
    <r>
      <rPr>
        <rFont val="Calibri"/>
        <color rgb="FFFFFF00"/>
        <sz val="18.0"/>
      </rPr>
      <t>confidential</t>
    </r>
    <r>
      <rPr>
        <rFont val="Calibri"/>
        <color theme="0"/>
        <sz val="18.0"/>
      </rPr>
      <t>.</t>
    </r>
  </si>
  <si>
    <t>A: Assessment Periods</t>
  </si>
  <si>
    <r>
      <rPr>
        <rFont val="Calibri"/>
        <color theme="1"/>
        <sz val="11.0"/>
      </rPr>
      <t xml:space="preserve">This assessment is based on the group progress in the following period (in terms of week of semester). </t>
    </r>
    <r>
      <rPr>
        <rFont val="Calibri"/>
        <b/>
        <color rgb="FFC00000"/>
        <sz val="11.0"/>
      </rPr>
      <t>All the figures you give below (items C, D and E) are based on works done within this period of time.</t>
    </r>
  </si>
  <si>
    <t>From</t>
  </si>
  <si>
    <t>Week 6</t>
  </si>
  <si>
    <t>To</t>
  </si>
  <si>
    <t>Week 8</t>
  </si>
  <si>
    <t>B: Evaluator Details</t>
  </si>
  <si>
    <t>Member Count</t>
  </si>
  <si>
    <t>Group</t>
  </si>
  <si>
    <t>S03_GROUP1</t>
  </si>
  <si>
    <r>
      <rPr>
        <rFont val="Calibri"/>
        <color theme="1"/>
        <sz val="10.0"/>
      </rPr>
      <t xml:space="preserve"> </t>
    </r>
    <r>
      <rPr>
        <rFont val="Calibri"/>
        <i/>
        <color theme="1"/>
        <sz val="10.0"/>
      </rPr>
      <t>Choose your group. The group members in the following parts (C to E) are listed automatically accordingly.</t>
    </r>
  </si>
  <si>
    <t>Evaluator's Name</t>
  </si>
  <si>
    <t>DAMIYA AINA BINTI BASIR ABD SHAMMAD</t>
  </si>
  <si>
    <t>Choose your name from the list</t>
  </si>
  <si>
    <t>C:  Group Meeting</t>
  </si>
  <si>
    <t>C1</t>
  </si>
  <si>
    <t>How many meetings did your group have within this period of time?</t>
  </si>
  <si>
    <t>C2</t>
  </si>
  <si>
    <t>How many times did you and other members attend the meetings?</t>
  </si>
  <si>
    <t>No</t>
  </si>
  <si>
    <t>Group Member</t>
  </si>
  <si>
    <r>
      <rPr>
        <rFont val="Calibri"/>
        <b/>
        <color theme="1"/>
        <sz val="11.0"/>
      </rPr>
      <t xml:space="preserve">C2                </t>
    </r>
    <r>
      <rPr>
        <rFont val="Calibri"/>
        <color theme="1"/>
        <sz val="9.0"/>
      </rPr>
      <t>Number of meetings attended</t>
    </r>
  </si>
  <si>
    <t>D: Task Allocation and Delivery</t>
  </si>
  <si>
    <t>D1</t>
  </si>
  <si>
    <t>D2</t>
  </si>
  <si>
    <r>
      <rPr>
        <rFont val="Calibri"/>
        <color theme="1"/>
        <sz val="11.0"/>
      </rPr>
      <t xml:space="preserve">State the percentage (in average) of </t>
    </r>
    <r>
      <rPr>
        <rFont val="Calibri"/>
        <color rgb="FFFF0000"/>
        <sz val="11.0"/>
      </rPr>
      <t>contribution (or delivery)</t>
    </r>
    <r>
      <rPr>
        <rFont val="Calibri"/>
        <color theme="1"/>
        <sz val="11.0"/>
      </rPr>
      <t xml:space="preserve"> of each member to the final project outcome (within this period of time).</t>
    </r>
  </si>
  <si>
    <r>
      <rPr>
        <rFont val="Calibri"/>
        <b/>
        <i/>
        <color theme="1"/>
        <sz val="11.0"/>
      </rPr>
      <t xml:space="preserve">D1
</t>
    </r>
    <r>
      <rPr>
        <rFont val="Calibri"/>
        <i/>
        <color theme="1"/>
        <sz val="9.0"/>
      </rPr>
      <t>ignore this column (D1)</t>
    </r>
  </si>
  <si>
    <r>
      <rPr>
        <rFont val="Calibri"/>
        <b/>
        <color theme="1"/>
        <sz val="11.0"/>
      </rPr>
      <t xml:space="preserve">D2
</t>
    </r>
    <r>
      <rPr>
        <rFont val="Calibri"/>
        <color theme="1"/>
        <sz val="9.0"/>
      </rPr>
      <t>Percentage of contribution to the project outcome</t>
    </r>
  </si>
  <si>
    <t>Total</t>
  </si>
  <si>
    <t>Note: Each total must sum to 100 %</t>
  </si>
  <si>
    <t>E: Team Working</t>
  </si>
  <si>
    <t>Notes: Refer to the Sheet "Team Working Rubrics" for the detail of each assessement item (E1 to E7)</t>
  </si>
  <si>
    <r>
      <rPr>
        <rFont val="Calibri"/>
        <b/>
        <color theme="1"/>
        <sz val="11.0"/>
      </rPr>
      <t xml:space="preserve">E1           </t>
    </r>
    <r>
      <rPr>
        <rFont val="Calibri"/>
        <color theme="1"/>
        <sz val="9.0"/>
      </rPr>
      <t>Adaptation</t>
    </r>
  </si>
  <si>
    <r>
      <rPr>
        <rFont val="Calibri"/>
        <b/>
        <color theme="1"/>
        <sz val="11.0"/>
      </rPr>
      <t xml:space="preserve">E2            </t>
    </r>
    <r>
      <rPr>
        <rFont val="Calibri"/>
        <color theme="1"/>
        <sz val="9.0"/>
      </rPr>
      <t>Interaction</t>
    </r>
  </si>
  <si>
    <r>
      <rPr>
        <rFont val="Calibri"/>
        <b/>
        <color theme="1"/>
        <sz val="11.0"/>
      </rPr>
      <t xml:space="preserve">E3              </t>
    </r>
    <r>
      <rPr>
        <rFont val="Calibri"/>
        <color theme="1"/>
        <sz val="9.0"/>
      </rPr>
      <t>Compromise</t>
    </r>
  </si>
  <si>
    <r>
      <rPr>
        <rFont val="Calibri"/>
        <b/>
        <color theme="1"/>
        <sz val="11.0"/>
      </rPr>
      <t xml:space="preserve">E4                    </t>
    </r>
    <r>
      <rPr>
        <rFont val="Calibri"/>
        <color theme="1"/>
        <sz val="9.0"/>
      </rPr>
      <t>Role changing</t>
    </r>
  </si>
  <si>
    <r>
      <rPr>
        <rFont val="Calibri"/>
        <b/>
        <color theme="1"/>
        <sz val="11.0"/>
      </rPr>
      <t xml:space="preserve">E5                     </t>
    </r>
    <r>
      <rPr>
        <rFont val="Calibri"/>
        <b val="0"/>
        <color theme="1"/>
        <sz val="11.0"/>
      </rPr>
      <t xml:space="preserve"> </t>
    </r>
    <r>
      <rPr>
        <rFont val="Calibri"/>
        <b val="0"/>
        <color theme="1"/>
        <sz val="9.0"/>
      </rPr>
      <t>Accepting Ideas</t>
    </r>
  </si>
  <si>
    <r>
      <rPr>
        <rFont val="Calibri"/>
        <b/>
        <color theme="1"/>
        <sz val="11.0"/>
      </rPr>
      <t xml:space="preserve">E6                      </t>
    </r>
    <r>
      <rPr>
        <rFont val="Calibri"/>
        <b/>
        <color theme="1"/>
        <sz val="9.0"/>
      </rPr>
      <t xml:space="preserve"> </t>
    </r>
    <r>
      <rPr>
        <rFont val="Calibri"/>
        <b val="0"/>
        <color theme="1"/>
        <sz val="9.0"/>
      </rPr>
      <t>Accepting Indv. Characters</t>
    </r>
  </si>
  <si>
    <r>
      <rPr>
        <rFont val="Calibri"/>
        <b/>
        <color theme="1"/>
        <sz val="11.0"/>
      </rPr>
      <t xml:space="preserve">E7                       </t>
    </r>
    <r>
      <rPr>
        <rFont val="Calibri"/>
        <b val="0"/>
        <color theme="1"/>
        <sz val="9.0"/>
      </rPr>
      <t>Open mindedness</t>
    </r>
  </si>
  <si>
    <t>F: Comments</t>
  </si>
  <si>
    <t>F1</t>
  </si>
  <si>
    <r>
      <rPr>
        <rFont val="Calibri"/>
        <b/>
        <color theme="1"/>
        <sz val="11.0"/>
      </rPr>
      <t xml:space="preserve">Briefly describe </t>
    </r>
    <r>
      <rPr>
        <rFont val="Calibri"/>
        <b/>
        <color rgb="FFFF0000"/>
        <sz val="11.0"/>
      </rPr>
      <t>your main contribution</t>
    </r>
    <r>
      <rPr>
        <rFont val="Calibri"/>
        <b/>
        <color theme="1"/>
        <sz val="11.0"/>
      </rPr>
      <t xml:space="preserve"> to the outcome of this assignement</t>
    </r>
  </si>
  <si>
    <t>i think my main contribution is always be the sketcher for this group beside giving some ideas and exhange it with group members</t>
  </si>
  <si>
    <t>F2</t>
  </si>
  <si>
    <r>
      <rPr>
        <rFont val="Calibri"/>
        <b/>
        <color theme="1"/>
        <sz val="11.0"/>
      </rPr>
      <t xml:space="preserve">Write a brief comment about the execution of this assignment in the context of </t>
    </r>
    <r>
      <rPr>
        <rFont val="Calibri"/>
        <b/>
        <color rgb="FFFF0000"/>
        <sz val="11.0"/>
      </rPr>
      <t>"teamworking"</t>
    </r>
    <r>
      <rPr>
        <rFont val="Calibri"/>
        <b/>
        <color theme="1"/>
        <sz val="11.0"/>
      </rPr>
      <t>. It can be anything, such as  problems faced by your group, your strength and weakness in contributing to your group, the good and bad things shown by any individuals in the group, etc.</t>
    </r>
  </si>
  <si>
    <t xml:space="preserve">i think our teamwork got better because we bring together diverse perspective and ideas. Apart from that , when task are divided among team members, it leads to faster and more efficient completion of work. Next, we also support each other and prividing motivation and encouragement. But , we also lack of time consuming since everyone had to finish another assignment . </t>
  </si>
  <si>
    <t>TEAM WORKING RUBRICS FOR SECJ1023 GROUP PROJECTS</t>
  </si>
  <si>
    <t>Aspects of Assessment: Ability to establish good rapport, interact with others and work effectively with them to meet common objectives</t>
  </si>
  <si>
    <t>Item No</t>
  </si>
  <si>
    <t>Team Working Criteria</t>
  </si>
  <si>
    <t>Level</t>
  </si>
  <si>
    <t>E1</t>
  </si>
  <si>
    <t>Ease of adapting to the group</t>
  </si>
  <si>
    <t>Cannot adapt to the group at all</t>
  </si>
  <si>
    <t>Only adapt to the group after several meetings</t>
  </si>
  <si>
    <t>Easily adapt to the group after the second meeting</t>
  </si>
  <si>
    <t>Easily adapt to the group within the first meeting</t>
  </si>
  <si>
    <t>E2</t>
  </si>
  <si>
    <t>Degree of interaction</t>
  </si>
  <si>
    <t>Cannot participate</t>
  </si>
  <si>
    <t>Little participation (at selected meetings)</t>
  </si>
  <si>
    <t>Moderate participation (at most meetings)</t>
  </si>
  <si>
    <t>High participation (at all meetings)</t>
  </si>
  <si>
    <t>Aspects of Assessment: Ability to comprehend and assume the interchangeable role of leaders and followers</t>
  </si>
  <si>
    <t>E3</t>
  </si>
  <si>
    <t>Degree of compromisation between leaders and followers</t>
  </si>
  <si>
    <t>No compromise between leaders and followers</t>
  </si>
  <si>
    <t>Partial compromise between leaders and followers (at selected meetings)</t>
  </si>
  <si>
    <t>Moderate compromise between leaders and followers (at most meetings)</t>
  </si>
  <si>
    <t>Fully compromise (give &amp; take) between leaders and followers (at all meetings)</t>
  </si>
  <si>
    <t>E4</t>
  </si>
  <si>
    <t>Willingness to change roles between leaders and followers</t>
  </si>
  <si>
    <t>Not willing to change roles between leaders and followers (at all times)</t>
  </si>
  <si>
    <t>Willing to change roles between leaders and followers (with conditions)</t>
  </si>
  <si>
    <t>Willing to change roles between leaders and followers (at selected situations)</t>
  </si>
  <si>
    <t>Most willing to change roles between leaders and followers (at all times)</t>
  </si>
  <si>
    <t>E5</t>
  </si>
  <si>
    <t>Willingness to accept ideas from members</t>
  </si>
  <si>
    <t>Not willing to accept ideas from members (at all times)</t>
  </si>
  <si>
    <t>Willing to accept ideas from members (with conditions)</t>
  </si>
  <si>
    <t>Willing to accept ideas from members (at selected situations)</t>
  </si>
  <si>
    <t>Ever willing to accept ideas from members</t>
  </si>
  <si>
    <t>Aspects of Assessment: Ability to recognize and respect the attitudes, actions and beliefs of others</t>
  </si>
  <si>
    <t>E6</t>
  </si>
  <si>
    <t>Accept the fact that each individual is different in individual characters, views and beliefs of others</t>
  </si>
  <si>
    <t>Cannot accept at all the fact that each individual is different</t>
  </si>
  <si>
    <t>Almost cannot accept the fact that each individual is different</t>
  </si>
  <si>
    <t>Partially accept the fact that each individual is different</t>
  </si>
  <si>
    <t>Fully accept the fact that each individual is different</t>
  </si>
  <si>
    <t>E7</t>
  </si>
  <si>
    <t>Acceptance of negative comments and open mindedness</t>
  </si>
  <si>
    <t>Reject negative comments and close minded</t>
  </si>
  <si>
    <t>Willing to accept negative comments but close minded</t>
  </si>
  <si>
    <t>Willing to accept negative comments but narrow minded</t>
  </si>
  <si>
    <t>Most willing to accept negative comments and open minded</t>
  </si>
  <si>
    <t>Member 1</t>
  </si>
  <si>
    <t>Member 2</t>
  </si>
  <si>
    <t>Member 3</t>
  </si>
  <si>
    <t>Member 4</t>
  </si>
  <si>
    <t>NURUL ADRIANA BINTI KAMAL JEFRI</t>
  </si>
  <si>
    <t>AIN NURNABILA BINTI MOHD AZHAR</t>
  </si>
  <si>
    <t>SYARIFAH DANIA BINTI SYED ABU BAKAR</t>
  </si>
  <si>
    <t>S03_GROUP2</t>
  </si>
  <si>
    <t>DHESHIEGHAN A/L SARAVANA MOORTHY</t>
  </si>
  <si>
    <t>PRAVINRAJ A/L SIVABATHI</t>
  </si>
  <si>
    <t>AHMAD ZIYAAD BIN MOHD ABBAS</t>
  </si>
  <si>
    <t xml:space="preserve">EMMADULLAH BHURGRI </t>
  </si>
  <si>
    <t>S03_GROUP3</t>
  </si>
  <si>
    <t>ANIS SAFIYYA BINTI JANAI</t>
  </si>
  <si>
    <t>LUBNA AL HAANI BINTI RADZUAN</t>
  </si>
  <si>
    <t>NUR FIRZANA BINTI BADRUS HISHAM</t>
  </si>
  <si>
    <t>NURUL ASYIKIN BINTI KHAIRUL ANUAR</t>
  </si>
  <si>
    <t>S03_GROUP4</t>
  </si>
  <si>
    <t>DAYANG FARAH FARZANA BINTI ABANG IDHAM</t>
  </si>
  <si>
    <t>FARRA NURZAHIN BINTI ZAHARIL ANUAR</t>
  </si>
  <si>
    <t>NAWWARAH AUNI BINTI NAZRUDIN</t>
  </si>
  <si>
    <t>SAFIYA NURSYAHADAH BINTI MASNOOR</t>
  </si>
  <si>
    <t>S03_GROUP5</t>
  </si>
  <si>
    <t>MUHAMMAD AFIQ DANIAL BIN ROZAIDIE</t>
  </si>
  <si>
    <t>MOHAMED ALIF FATHI BIN ABDUL LATIF</t>
  </si>
  <si>
    <t>NURAISYAH BINTI MOHD ZIKRE</t>
  </si>
  <si>
    <t>NURUL IKA SYAFINY BINTI AZHAR</t>
  </si>
  <si>
    <t>S03_GROUP6</t>
  </si>
  <si>
    <t>MUHAMMAD NAIM BIN ABDULLAH</t>
  </si>
  <si>
    <t>MUHAMMAD MUKHRITZ AL IMAN BIN MOHD RAFFI</t>
  </si>
  <si>
    <t>AHMAD ADIB ZIKRI BIN A.MAZLAM</t>
  </si>
  <si>
    <t>IMAN ABADI BIN MOHD NIZWAN</t>
  </si>
  <si>
    <t>S10_GOOD GAME</t>
  </si>
  <si>
    <t>LING LEE HOM</t>
  </si>
  <si>
    <t>NICHOLAS YEK EI ZHE</t>
  </si>
  <si>
    <t>MUHAMMAD HALIM BIN JOHAR</t>
  </si>
  <si>
    <t>YOUSIF SALAH YOUSIF ALMATRI</t>
  </si>
  <si>
    <t>S10_INNOVATORS</t>
  </si>
  <si>
    <t>NAZMI HAIKAL BIN KHAIRUL</t>
  </si>
  <si>
    <t>CHUAH CHUN YI</t>
  </si>
  <si>
    <t>CHONG JUN HONG</t>
  </si>
  <si>
    <t>TAN SZE QING</t>
  </si>
  <si>
    <t>S10_TELETUBBIES</t>
  </si>
  <si>
    <t>ALICE LEE HUI MEE</t>
  </si>
  <si>
    <t>CHENG KANG HUEY</t>
  </si>
  <si>
    <t>KHOO ZI LING</t>
  </si>
  <si>
    <t>NGEOW ZHI YU</t>
  </si>
  <si>
    <t>S10_GROUP4</t>
  </si>
  <si>
    <t>FARIS ISKANDAR BIN ZAMANI</t>
  </si>
  <si>
    <t>IZZ HAEIL BIN HAMISHAMSUL</t>
  </si>
  <si>
    <t>MUHAMMAD HAIKAL BIN JAPRI</t>
  </si>
  <si>
    <t>AMMAR QHAWIEM BIN MOHD ASRAK</t>
  </si>
  <si>
    <t>S10_GROUP5</t>
  </si>
  <si>
    <t>ENNIS LAM SI HOONG</t>
  </si>
  <si>
    <t>LIEW CHOON PANG</t>
  </si>
  <si>
    <t>TAI YI TIAN</t>
  </si>
  <si>
    <t>SOU CHENG JIE</t>
  </si>
  <si>
    <t>S10_GROUP6</t>
  </si>
  <si>
    <t>LEE XUAN YING</t>
  </si>
  <si>
    <t>LEE JIAN AI</t>
  </si>
  <si>
    <t>LOH HUI YI</t>
  </si>
  <si>
    <t>ONG JIE MIN</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</si>
</sst>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sz val="11.0"/>
      <color theme="1"/>
      <name val="Calibri"/>
    </font>
    <font/>
    <font>
      <sz val="18.0"/>
      <color theme="0"/>
      <name val="Calibri"/>
    </font>
    <font>
      <b/>
      <sz val="14.0"/>
      <color theme="0"/>
      <name val="Calibri"/>
    </font>
    <font>
      <b/>
      <sz val="11.0"/>
      <color theme="0"/>
      <name val="Calibri"/>
    </font>
    <font>
      <b/>
      <sz val="11.0"/>
      <color theme="1"/>
      <name val="Calibri"/>
    </font>
    <font>
      <sz val="10.0"/>
      <color theme="1"/>
      <name val="Calibri"/>
    </font>
    <font>
      <sz val="11.0"/>
      <color theme="0"/>
      <name val="Calibri"/>
    </font>
    <font>
      <i/>
      <sz val="10.0"/>
      <color theme="1"/>
      <name val="Calibri"/>
    </font>
    <font>
      <i/>
      <sz val="11.0"/>
      <color theme="1"/>
      <name val="Calibri"/>
    </font>
    <font>
      <b/>
      <i/>
      <sz val="11.0"/>
      <color theme="1"/>
      <name val="Calibri"/>
    </font>
    <font>
      <b/>
      <sz val="10.0"/>
      <color theme="1"/>
      <name val="Calibri"/>
    </font>
    <font>
      <b/>
      <sz val="18.0"/>
      <color theme="0"/>
      <name val="Calibri"/>
    </font>
    <font>
      <b/>
      <sz val="10.0"/>
      <color theme="1"/>
      <name val="Verdana"/>
    </font>
    <font>
      <sz val="9.0"/>
      <color theme="1"/>
      <name val="Verdana"/>
    </font>
  </fonts>
  <fills count="9">
    <fill>
      <patternFill patternType="none"/>
    </fill>
    <fill>
      <patternFill patternType="lightGray"/>
    </fill>
    <fill>
      <patternFill patternType="solid">
        <fgColor theme="0"/>
        <bgColor theme="0"/>
      </patternFill>
    </fill>
    <fill>
      <patternFill patternType="solid">
        <fgColor theme="5"/>
        <bgColor theme="5"/>
      </patternFill>
    </fill>
    <fill>
      <patternFill patternType="solid">
        <fgColor rgb="FFA5A5A5"/>
        <bgColor rgb="FFA5A5A5"/>
      </patternFill>
    </fill>
    <fill>
      <patternFill patternType="solid">
        <fgColor rgb="FFEEECE1"/>
        <bgColor rgb="FFEEECE1"/>
      </patternFill>
    </fill>
    <fill>
      <patternFill patternType="solid">
        <fgColor rgb="FFBFBFBF"/>
        <bgColor rgb="FFBFBFBF"/>
      </patternFill>
    </fill>
    <fill>
      <patternFill patternType="solid">
        <fgColor theme="1"/>
        <bgColor theme="1"/>
      </patternFill>
    </fill>
    <fill>
      <patternFill patternType="solid">
        <fgColor rgb="FFD8D8D8"/>
        <bgColor rgb="FFD8D8D8"/>
      </patternFill>
    </fill>
  </fills>
  <borders count="34">
    <border/>
    <border>
      <left/>
      <top/>
      <bottom/>
    </border>
    <border>
      <top/>
      <bottom/>
    </border>
    <border>
      <left/>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right style="medium">
        <color rgb="FF000000"/>
      </right>
      <top/>
      <bottom/>
    </border>
    <border>
      <left style="thin">
        <color rgb="FF000000"/>
      </left>
      <right style="thin">
        <color rgb="FF000000"/>
      </right>
      <top style="thin">
        <color rgb="FF000000"/>
      </top>
      <bottom style="thin">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medium">
        <color rgb="FF000000"/>
      </left>
    </border>
    <border>
      <right style="medium">
        <color rgb="FF000000"/>
      </right>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right/>
      <top style="thin">
        <color rgb="FF000000"/>
      </top>
      <bottom style="double">
        <color rgb="FF000000"/>
      </bottom>
    </border>
    <border>
      <left style="thin">
        <color rgb="FF000000"/>
      </left>
      <right style="medium">
        <color rgb="FF000000"/>
      </right>
      <top style="thin">
        <color rgb="FF000000"/>
      </top>
      <bottom style="thin">
        <color rgb="FF000000"/>
      </bottom>
    </border>
    <border>
      <left/>
      <top/>
      <bottom style="thin">
        <color rgb="FF000000"/>
      </bottom>
    </border>
    <border>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medium">
        <color rgb="FF000000"/>
      </top>
      <bottom/>
    </border>
    <border>
      <right style="thin">
        <color rgb="FF000000"/>
      </right>
      <bottom style="thin">
        <color rgb="FF000000"/>
      </bottom>
    </border>
  </borders>
  <cellStyleXfs count="1">
    <xf borderId="0" fillId="0" fontId="0" numFmtId="0" applyAlignment="1" applyFont="1"/>
  </cellStyleXfs>
  <cellXfs count="83">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2" fontId="1" numFmtId="0" xfId="0" applyAlignment="1" applyBorder="1" applyFont="1">
      <alignment vertical="center"/>
    </xf>
    <xf borderId="1" fillId="3" fontId="3" numFmtId="0" xfId="0" applyAlignment="1" applyBorder="1" applyFill="1" applyFont="1">
      <alignment horizontal="center" shrinkToFit="0" vertical="center" wrapText="1"/>
    </xf>
    <xf borderId="3" fillId="2" fontId="1" numFmtId="0" xfId="0" applyAlignment="1" applyBorder="1" applyFont="1">
      <alignment horizontal="right" vertical="center"/>
    </xf>
    <xf borderId="4" fillId="4" fontId="4" numFmtId="0" xfId="0" applyAlignment="1" applyBorder="1" applyFill="1" applyFont="1">
      <alignment vertical="center"/>
    </xf>
    <xf borderId="5" fillId="4" fontId="5" numFmtId="0" xfId="0" applyAlignment="1" applyBorder="1" applyFont="1">
      <alignment vertical="center"/>
    </xf>
    <xf borderId="6" fillId="4" fontId="5" numFmtId="0" xfId="0" applyAlignment="1" applyBorder="1" applyFont="1">
      <alignment vertical="center"/>
    </xf>
    <xf borderId="7" fillId="2" fontId="1" numFmtId="0" xfId="0" applyAlignment="1" applyBorder="1" applyFont="1">
      <alignment horizontal="right" vertical="center"/>
    </xf>
    <xf borderId="8" fillId="2" fontId="1" numFmtId="0" xfId="0" applyAlignment="1" applyBorder="1" applyFont="1">
      <alignment vertical="center"/>
    </xf>
    <xf borderId="7" fillId="2" fontId="6" numFmtId="0" xfId="0" applyAlignment="1" applyBorder="1" applyFont="1">
      <alignment horizontal="center" vertical="top"/>
    </xf>
    <xf borderId="1" fillId="2" fontId="1" numFmtId="0" xfId="0" applyAlignment="1" applyBorder="1" applyFont="1">
      <alignment horizontal="left" shrinkToFit="0" vertical="center" wrapText="1"/>
    </xf>
    <xf borderId="9" fillId="0" fontId="2" numFmtId="0" xfId="0" applyBorder="1" applyFont="1"/>
    <xf borderId="7" fillId="2" fontId="1" numFmtId="0" xfId="0" applyAlignment="1" applyBorder="1" applyFont="1">
      <alignment horizontal="center" vertical="top"/>
    </xf>
    <xf borderId="10" fillId="2" fontId="6" numFmtId="0" xfId="0" applyAlignment="1" applyBorder="1" applyFont="1">
      <alignment vertical="center"/>
    </xf>
    <xf borderId="3" fillId="2" fontId="7" numFmtId="0" xfId="0" applyAlignment="1" applyBorder="1" applyFont="1">
      <alignment vertical="center"/>
    </xf>
    <xf borderId="0" fillId="0" fontId="8" numFmtId="0" xfId="0" applyFont="1"/>
    <xf borderId="11" fillId="2" fontId="1" numFmtId="0" xfId="0" applyAlignment="1" applyBorder="1" applyFont="1">
      <alignment horizontal="right" vertical="center"/>
    </xf>
    <xf borderId="12" fillId="2" fontId="1" numFmtId="0" xfId="0" applyAlignment="1" applyBorder="1" applyFont="1">
      <alignment horizontal="right" vertical="center"/>
    </xf>
    <xf borderId="12" fillId="2" fontId="1" numFmtId="0" xfId="0" applyAlignment="1" applyBorder="1" applyFont="1">
      <alignment vertical="center"/>
    </xf>
    <xf borderId="13" fillId="2" fontId="1" numFmtId="0" xfId="0" applyAlignment="1" applyBorder="1" applyFont="1">
      <alignment vertical="center"/>
    </xf>
    <xf borderId="10" fillId="2" fontId="6" numFmtId="0" xfId="0" applyAlignment="1" applyBorder="1" applyFont="1">
      <alignment readingOrder="0" vertical="center"/>
    </xf>
    <xf borderId="14" fillId="2" fontId="6" numFmtId="0" xfId="0" applyAlignment="1" applyBorder="1" applyFont="1">
      <alignment horizontal="left" readingOrder="0" vertical="center"/>
    </xf>
    <xf borderId="15" fillId="0" fontId="2" numFmtId="0" xfId="0" applyBorder="1" applyFont="1"/>
    <xf borderId="16" fillId="0" fontId="2" numFmtId="0" xfId="0" applyBorder="1" applyFont="1"/>
    <xf borderId="3" fillId="2" fontId="9" numFmtId="0" xfId="0" applyAlignment="1" applyBorder="1" applyFont="1">
      <alignment vertical="center"/>
    </xf>
    <xf borderId="0" fillId="0" fontId="1" numFmtId="0" xfId="0" applyAlignment="1" applyFont="1">
      <alignment vertical="center"/>
    </xf>
    <xf borderId="3" fillId="2" fontId="1" numFmtId="0" xfId="0" applyAlignment="1" applyBorder="1" applyFont="1">
      <alignment shrinkToFit="0" vertical="center" wrapText="1"/>
    </xf>
    <xf borderId="10" fillId="2" fontId="6" numFmtId="1" xfId="0" applyAlignment="1" applyBorder="1" applyFont="1" applyNumberFormat="1">
      <alignment horizontal="center" readingOrder="0" vertical="center"/>
    </xf>
    <xf borderId="7" fillId="2" fontId="6" numFmtId="0" xfId="0" applyAlignment="1" applyBorder="1" applyFont="1">
      <alignment horizontal="center" vertical="center"/>
    </xf>
    <xf borderId="3" fillId="2" fontId="1" numFmtId="0" xfId="0" applyAlignment="1" applyBorder="1" applyFont="1">
      <alignment horizontal="center" vertical="center"/>
    </xf>
    <xf borderId="10" fillId="5" fontId="6" numFmtId="0" xfId="0" applyAlignment="1" applyBorder="1" applyFill="1" applyFont="1">
      <alignment horizontal="center" shrinkToFit="0" vertical="center" wrapText="1"/>
    </xf>
    <xf borderId="10" fillId="5" fontId="6" numFmtId="0" xfId="0" applyAlignment="1" applyBorder="1" applyFont="1">
      <alignment shrinkToFit="0" vertical="center" wrapText="1"/>
    </xf>
    <xf borderId="10" fillId="5" fontId="1" numFmtId="0" xfId="0" applyAlignment="1" applyBorder="1" applyFont="1">
      <alignment horizontal="center" shrinkToFit="0" vertical="top" wrapText="1"/>
    </xf>
    <xf borderId="10" fillId="2" fontId="1" numFmtId="0" xfId="0" applyAlignment="1" applyBorder="1" applyFont="1">
      <alignment horizontal="center" vertical="center"/>
    </xf>
    <xf borderId="10" fillId="2" fontId="1" numFmtId="0" xfId="0" applyAlignment="1" applyBorder="1" applyFont="1">
      <alignment vertical="center"/>
    </xf>
    <xf borderId="11" fillId="2" fontId="1" numFmtId="0" xfId="0" applyAlignment="1" applyBorder="1" applyFont="1">
      <alignment vertical="center"/>
    </xf>
    <xf borderId="17" fillId="0" fontId="1" numFmtId="0" xfId="0" applyAlignment="1" applyBorder="1" applyFont="1">
      <alignment vertical="center"/>
    </xf>
    <xf borderId="18" fillId="0" fontId="1" numFmtId="0" xfId="0" applyAlignment="1" applyBorder="1" applyFont="1">
      <alignment vertical="center"/>
    </xf>
    <xf borderId="19" fillId="5" fontId="6" numFmtId="0" xfId="0" applyAlignment="1" applyBorder="1" applyFont="1">
      <alignment horizontal="center" shrinkToFit="0" vertical="center" wrapText="1"/>
    </xf>
    <xf borderId="10" fillId="5" fontId="10" numFmtId="0" xfId="0" applyAlignment="1" applyBorder="1" applyFont="1">
      <alignment horizontal="center" shrinkToFit="0" vertical="top" wrapText="1"/>
    </xf>
    <xf borderId="19" fillId="2" fontId="1" numFmtId="0" xfId="0" applyAlignment="1" applyBorder="1" applyFont="1">
      <alignment horizontal="center" vertical="center"/>
    </xf>
    <xf borderId="20" fillId="2" fontId="6" numFmtId="1" xfId="0" applyAlignment="1" applyBorder="1" applyFont="1" applyNumberFormat="1">
      <alignment horizontal="center" vertical="center"/>
    </xf>
    <xf borderId="21" fillId="2" fontId="6" numFmtId="1" xfId="0" applyAlignment="1" applyBorder="1" applyFont="1" applyNumberFormat="1">
      <alignment horizontal="center" vertical="center"/>
    </xf>
    <xf borderId="22" fillId="2" fontId="6" numFmtId="1" xfId="0" applyAlignment="1" applyBorder="1" applyFont="1" applyNumberFormat="1">
      <alignment horizontal="center" vertical="center"/>
    </xf>
    <xf borderId="7" fillId="2" fontId="1" numFmtId="0" xfId="0" applyAlignment="1" applyBorder="1" applyFont="1">
      <alignment horizontal="center" vertical="center"/>
    </xf>
    <xf borderId="3" fillId="2" fontId="6" numFmtId="0" xfId="0" applyAlignment="1" applyBorder="1" applyFont="1">
      <alignment horizontal="right" vertical="center"/>
    </xf>
    <xf borderId="23" fillId="2" fontId="6" numFmtId="1" xfId="0" applyAlignment="1" applyBorder="1" applyFont="1" applyNumberFormat="1">
      <alignment horizontal="center" vertical="center"/>
    </xf>
    <xf borderId="3" fillId="2" fontId="10" numFmtId="0" xfId="0" applyAlignment="1" applyBorder="1" applyFont="1">
      <alignment vertical="center"/>
    </xf>
    <xf borderId="7" fillId="2" fontId="11" numFmtId="0" xfId="0" applyAlignment="1" applyBorder="1" applyFont="1">
      <alignment horizontal="left" vertical="top"/>
    </xf>
    <xf borderId="3" fillId="2" fontId="6" numFmtId="0" xfId="0" applyAlignment="1" applyBorder="1" applyFont="1">
      <alignment vertical="center"/>
    </xf>
    <xf borderId="3" fillId="2" fontId="6" numFmtId="0" xfId="0" applyAlignment="1" applyBorder="1" applyFont="1">
      <alignment horizontal="center" vertical="center"/>
    </xf>
    <xf borderId="3" fillId="2" fontId="12" numFmtId="0" xfId="0" applyAlignment="1" applyBorder="1" applyFont="1">
      <alignment vertical="center"/>
    </xf>
    <xf borderId="10" fillId="5" fontId="6" numFmtId="0" xfId="0" applyAlignment="1" applyBorder="1" applyFont="1">
      <alignment horizontal="center" shrinkToFit="0" vertical="top" wrapText="1"/>
    </xf>
    <xf borderId="24" fillId="6" fontId="6" numFmtId="0" xfId="0" applyAlignment="1" applyBorder="1" applyFill="1" applyFont="1">
      <alignment horizontal="center" shrinkToFit="0" vertical="top" wrapText="1"/>
    </xf>
    <xf borderId="10" fillId="2" fontId="6" numFmtId="0" xfId="0" applyAlignment="1" applyBorder="1" applyFont="1">
      <alignment horizontal="center" readingOrder="0" vertical="center"/>
    </xf>
    <xf borderId="24" fillId="6" fontId="6" numFmtId="1" xfId="0" applyAlignment="1" applyBorder="1" applyFont="1" applyNumberFormat="1">
      <alignment horizontal="center" vertical="center"/>
    </xf>
    <xf borderId="3" fillId="2" fontId="1" numFmtId="0" xfId="0" applyBorder="1" applyFont="1"/>
    <xf borderId="7" fillId="2" fontId="6" numFmtId="0" xfId="0" applyAlignment="1" applyBorder="1" applyFont="1">
      <alignment horizontal="left" vertical="top"/>
    </xf>
    <xf borderId="14" fillId="2" fontId="1" numFmtId="0" xfId="0" applyAlignment="1" applyBorder="1" applyFont="1">
      <alignment horizontal="left" readingOrder="0" shrinkToFit="0" vertical="top" wrapText="1"/>
    </xf>
    <xf borderId="25" fillId="2" fontId="6" numFmtId="0" xfId="0" applyAlignment="1" applyBorder="1" applyFont="1">
      <alignment horizontal="left" shrinkToFit="0" vertical="center" wrapText="1"/>
    </xf>
    <xf borderId="26" fillId="0" fontId="2" numFmtId="0" xfId="0" applyBorder="1" applyFont="1"/>
    <xf borderId="27" fillId="0" fontId="1" numFmtId="0" xfId="0" applyBorder="1" applyFont="1"/>
    <xf borderId="28" fillId="0" fontId="1" numFmtId="0" xfId="0" applyBorder="1" applyFont="1"/>
    <xf borderId="29" fillId="0" fontId="1" numFmtId="0" xfId="0" applyBorder="1" applyFont="1"/>
    <xf borderId="14" fillId="7" fontId="13" numFmtId="0" xfId="0" applyAlignment="1" applyBorder="1" applyFill="1" applyFont="1">
      <alignment horizontal="center" shrinkToFit="0" vertical="center" wrapText="1"/>
    </xf>
    <xf borderId="0" fillId="0" fontId="1" numFmtId="0" xfId="0" applyAlignment="1" applyFont="1">
      <alignment shrinkToFit="0" wrapText="1"/>
    </xf>
    <xf borderId="14" fillId="7" fontId="4" numFmtId="0" xfId="0" applyAlignment="1" applyBorder="1" applyFont="1">
      <alignment horizontal="center" shrinkToFit="0" vertical="center" wrapText="1"/>
    </xf>
    <xf borderId="30" fillId="6" fontId="6" numFmtId="0" xfId="0" applyAlignment="1" applyBorder="1" applyFont="1">
      <alignment horizontal="center" shrinkToFit="0" vertical="center" wrapText="1"/>
    </xf>
    <xf borderId="14" fillId="6" fontId="6" numFmtId="0" xfId="0" applyAlignment="1" applyBorder="1" applyFont="1">
      <alignment horizontal="center" shrinkToFit="0" vertical="top" wrapText="1"/>
    </xf>
    <xf borderId="0" fillId="0" fontId="1" numFmtId="0" xfId="0" applyAlignment="1" applyFont="1">
      <alignment horizontal="center" shrinkToFit="0" vertical="top" wrapText="1"/>
    </xf>
    <xf borderId="31" fillId="0" fontId="2" numFmtId="0" xfId="0" applyBorder="1" applyFont="1"/>
    <xf borderId="10" fillId="6" fontId="6" numFmtId="0" xfId="0" applyAlignment="1" applyBorder="1" applyFont="1">
      <alignment horizontal="center" shrinkToFit="0" vertical="top" wrapText="1"/>
    </xf>
    <xf borderId="10" fillId="2" fontId="6" numFmtId="0" xfId="0" applyAlignment="1" applyBorder="1" applyFont="1">
      <alignment horizontal="center" shrinkToFit="0" vertical="top" wrapText="1"/>
    </xf>
    <xf borderId="10" fillId="2" fontId="1" numFmtId="0" xfId="0" applyAlignment="1" applyBorder="1" applyFont="1">
      <alignment shrinkToFit="0" vertical="top" wrapText="1"/>
    </xf>
    <xf borderId="10" fillId="2" fontId="1" numFmtId="0" xfId="0" applyAlignment="1" applyBorder="1" applyFont="1">
      <alignment horizontal="left" shrinkToFit="0" vertical="top" wrapText="1"/>
    </xf>
    <xf borderId="10" fillId="0" fontId="1" numFmtId="0" xfId="0" applyAlignment="1" applyBorder="1" applyFont="1">
      <alignment horizontal="left" shrinkToFit="0" vertical="top" wrapText="1"/>
    </xf>
    <xf borderId="32" fillId="8" fontId="14" numFmtId="49" xfId="0" applyAlignment="1" applyBorder="1" applyFill="1" applyFont="1" applyNumberFormat="1">
      <alignment horizontal="center" vertical="center"/>
    </xf>
    <xf borderId="10" fillId="0" fontId="15" numFmtId="0" xfId="0" applyAlignment="1" applyBorder="1" applyFont="1">
      <alignment horizontal="center"/>
    </xf>
    <xf borderId="16" fillId="0" fontId="15" numFmtId="49" xfId="0" applyBorder="1" applyFont="1" applyNumberFormat="1"/>
    <xf borderId="31" fillId="0" fontId="15" numFmtId="0" xfId="0" applyAlignment="1" applyBorder="1" applyFont="1">
      <alignment horizontal="center"/>
    </xf>
    <xf borderId="33" fillId="0" fontId="15" numFmtId="49" xfId="0" applyBorder="1" applyFont="1" applyNumberFormat="1"/>
  </cellXfs>
  <cellStyles count="1">
    <cellStyle xfId="0" name="Normal" builtinId="0"/>
  </cellStyles>
  <dxfs count="2">
    <dxf>
      <font>
        <color rgb="FF006100"/>
      </font>
      <fill>
        <patternFill patternType="solid">
          <fgColor rgb="FFC6EFCE"/>
          <bgColor rgb="FFC6EFCE"/>
        </patternFill>
      </fill>
      <border/>
    </dxf>
    <dxf>
      <font>
        <b/>
        <color rgb="FFFF000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58.71"/>
    <col customWidth="1" min="3" max="9" width="19.43"/>
    <col customWidth="1" min="10" max="10" width="7.86"/>
    <col customWidth="1" min="11" max="11" width="6.29"/>
    <col customWidth="1" hidden="1" min="12" max="12" width="9.86"/>
    <col customWidth="1" min="13" max="26" width="8.71"/>
  </cols>
  <sheetData>
    <row r="1">
      <c r="A1" s="1" t="s">
        <v>0</v>
      </c>
      <c r="B1" s="2"/>
      <c r="C1" s="2"/>
      <c r="D1" s="2"/>
      <c r="E1" s="2"/>
      <c r="F1" s="2"/>
      <c r="G1" s="2"/>
      <c r="H1" s="2"/>
      <c r="I1" s="2"/>
      <c r="J1" s="2"/>
    </row>
    <row r="2">
      <c r="A2" s="1" t="s">
        <v>1</v>
      </c>
      <c r="B2" s="2"/>
      <c r="C2" s="2"/>
      <c r="D2" s="2"/>
      <c r="E2" s="2"/>
      <c r="F2" s="2"/>
      <c r="G2" s="2"/>
      <c r="H2" s="2"/>
      <c r="I2" s="2"/>
      <c r="J2" s="2"/>
    </row>
    <row r="3">
      <c r="A3" s="1" t="s">
        <v>2</v>
      </c>
      <c r="B3" s="2"/>
      <c r="C3" s="2"/>
      <c r="D3" s="2"/>
      <c r="E3" s="2"/>
      <c r="F3" s="2"/>
      <c r="G3" s="2"/>
      <c r="H3" s="2"/>
      <c r="I3" s="2"/>
      <c r="J3" s="2"/>
    </row>
    <row r="4">
      <c r="A4" s="3"/>
      <c r="B4" s="3"/>
      <c r="C4" s="3"/>
      <c r="D4" s="3"/>
      <c r="E4" s="3"/>
      <c r="F4" s="3"/>
      <c r="G4" s="3"/>
      <c r="H4" s="3"/>
      <c r="I4" s="3"/>
      <c r="J4" s="3"/>
    </row>
    <row r="5" ht="111.0" customHeight="1">
      <c r="A5" s="4" t="s">
        <v>3</v>
      </c>
      <c r="B5" s="2"/>
      <c r="C5" s="2"/>
      <c r="D5" s="2"/>
      <c r="E5" s="2"/>
      <c r="F5" s="2"/>
      <c r="G5" s="2"/>
      <c r="H5" s="2"/>
      <c r="I5" s="2"/>
      <c r="J5" s="2"/>
    </row>
    <row r="6" ht="9.75" customHeight="1">
      <c r="A6" s="5"/>
      <c r="B6" s="5"/>
      <c r="C6" s="3"/>
      <c r="D6" s="3"/>
      <c r="E6" s="3"/>
      <c r="F6" s="3"/>
      <c r="G6" s="3"/>
      <c r="H6" s="3"/>
      <c r="I6" s="3"/>
      <c r="J6" s="3"/>
    </row>
    <row r="7">
      <c r="A7" s="6" t="s">
        <v>4</v>
      </c>
      <c r="B7" s="6"/>
      <c r="C7" s="7"/>
      <c r="D7" s="7"/>
      <c r="E7" s="7"/>
      <c r="F7" s="7"/>
      <c r="G7" s="7"/>
      <c r="H7" s="7"/>
      <c r="I7" s="7"/>
      <c r="J7" s="8"/>
    </row>
    <row r="8" ht="9.75" customHeight="1">
      <c r="A8" s="9"/>
      <c r="B8" s="5"/>
      <c r="C8" s="3"/>
      <c r="D8" s="3"/>
      <c r="E8" s="3"/>
      <c r="F8" s="3"/>
      <c r="G8" s="3"/>
      <c r="H8" s="3"/>
      <c r="I8" s="3"/>
      <c r="J8" s="10"/>
    </row>
    <row r="9" ht="27.75" customHeight="1">
      <c r="A9" s="11"/>
      <c r="B9" s="12" t="s">
        <v>5</v>
      </c>
      <c r="C9" s="2"/>
      <c r="D9" s="2"/>
      <c r="E9" s="2"/>
      <c r="F9" s="2"/>
      <c r="G9" s="2"/>
      <c r="H9" s="2"/>
      <c r="I9" s="2"/>
      <c r="J9" s="13"/>
    </row>
    <row r="10" ht="9.75" customHeight="1">
      <c r="A10" s="9"/>
      <c r="B10" s="5"/>
      <c r="C10" s="3"/>
      <c r="D10" s="3"/>
      <c r="E10" s="3"/>
      <c r="F10" s="3"/>
      <c r="G10" s="3"/>
      <c r="H10" s="3"/>
      <c r="I10" s="3"/>
      <c r="J10" s="10"/>
    </row>
    <row r="11">
      <c r="A11" s="14"/>
      <c r="B11" s="3" t="s">
        <v>6</v>
      </c>
      <c r="C11" s="15" t="s">
        <v>7</v>
      </c>
      <c r="D11" s="16"/>
      <c r="E11" s="3" t="s">
        <v>8</v>
      </c>
      <c r="F11" s="15" t="s">
        <v>9</v>
      </c>
      <c r="G11" s="3"/>
      <c r="H11" s="3"/>
      <c r="I11" s="3"/>
      <c r="J11" s="10"/>
      <c r="L11" s="17">
        <f>COUNTA(OFFSET(Groups!$A$1,1,#REF!,4,1))</f>
        <v>1</v>
      </c>
    </row>
    <row r="12" ht="9.75" customHeight="1">
      <c r="A12" s="18"/>
      <c r="B12" s="19"/>
      <c r="C12" s="20"/>
      <c r="D12" s="20"/>
      <c r="E12" s="20"/>
      <c r="F12" s="20"/>
      <c r="G12" s="20"/>
      <c r="H12" s="20"/>
      <c r="I12" s="20"/>
      <c r="J12" s="21"/>
    </row>
    <row r="13" ht="9.75" customHeight="1">
      <c r="A13" s="5"/>
      <c r="B13" s="5"/>
      <c r="C13" s="3"/>
      <c r="D13" s="3"/>
      <c r="E13" s="3"/>
      <c r="F13" s="3"/>
      <c r="G13" s="3"/>
      <c r="H13" s="3"/>
      <c r="I13" s="3"/>
      <c r="J13" s="3"/>
    </row>
    <row r="14">
      <c r="A14" s="6" t="s">
        <v>10</v>
      </c>
      <c r="B14" s="6"/>
      <c r="C14" s="7"/>
      <c r="D14" s="7"/>
      <c r="E14" s="7"/>
      <c r="F14" s="7"/>
      <c r="G14" s="7"/>
      <c r="H14" s="7"/>
      <c r="I14" s="7"/>
      <c r="J14" s="8"/>
    </row>
    <row r="15" ht="9.75" customHeight="1">
      <c r="A15" s="14"/>
      <c r="B15" s="5"/>
      <c r="C15" s="3"/>
      <c r="D15" s="3"/>
      <c r="E15" s="3"/>
      <c r="F15" s="3"/>
      <c r="G15" s="3"/>
      <c r="H15" s="3"/>
      <c r="I15" s="3"/>
      <c r="J15" s="10"/>
      <c r="L15" s="17" t="s">
        <v>11</v>
      </c>
    </row>
    <row r="16">
      <c r="A16" s="14"/>
      <c r="B16" s="3" t="s">
        <v>12</v>
      </c>
      <c r="C16" s="22" t="s">
        <v>13</v>
      </c>
      <c r="D16" s="16" t="s">
        <v>14</v>
      </c>
      <c r="E16" s="3"/>
      <c r="F16" s="3"/>
      <c r="G16" s="3"/>
      <c r="H16" s="3"/>
      <c r="I16" s="3"/>
      <c r="J16" s="10"/>
      <c r="L16" s="17">
        <f>MATCH(C16,Groups!$B$2:$B$13,0)</f>
        <v>1</v>
      </c>
    </row>
    <row r="17" ht="9.75" customHeight="1">
      <c r="A17" s="9"/>
      <c r="B17" s="5"/>
      <c r="C17" s="3"/>
      <c r="D17" s="3"/>
      <c r="E17" s="3"/>
      <c r="F17" s="3"/>
      <c r="G17" s="3"/>
      <c r="H17" s="3"/>
      <c r="I17" s="3"/>
      <c r="J17" s="10"/>
    </row>
    <row r="18">
      <c r="A18" s="14"/>
      <c r="B18" s="3" t="s">
        <v>15</v>
      </c>
      <c r="C18" s="23" t="s">
        <v>16</v>
      </c>
      <c r="D18" s="24"/>
      <c r="E18" s="25"/>
      <c r="F18" s="26" t="s">
        <v>17</v>
      </c>
      <c r="G18" s="3"/>
      <c r="H18" s="3"/>
      <c r="I18" s="3"/>
      <c r="J18" s="3"/>
    </row>
    <row r="19" ht="9.75" customHeight="1">
      <c r="A19" s="18"/>
      <c r="B19" s="19"/>
      <c r="C19" s="20"/>
      <c r="D19" s="20"/>
      <c r="E19" s="20"/>
      <c r="F19" s="20"/>
      <c r="G19" s="3"/>
      <c r="H19" s="3"/>
      <c r="I19" s="3"/>
      <c r="J19" s="3"/>
    </row>
    <row r="20" ht="9.75" customHeight="1">
      <c r="A20" s="27"/>
      <c r="B20" s="5"/>
      <c r="C20" s="3"/>
      <c r="D20" s="3"/>
      <c r="E20" s="3"/>
      <c r="F20" s="3"/>
      <c r="G20" s="3"/>
      <c r="H20" s="3"/>
      <c r="I20" s="3"/>
      <c r="J20" s="27"/>
    </row>
    <row r="21" ht="15.75" customHeight="1">
      <c r="A21" s="6" t="s">
        <v>18</v>
      </c>
      <c r="B21" s="6"/>
      <c r="C21" s="7"/>
      <c r="D21" s="7"/>
      <c r="E21" s="7"/>
      <c r="F21" s="7"/>
      <c r="G21" s="7"/>
      <c r="H21" s="7"/>
      <c r="I21" s="7"/>
      <c r="J21" s="8"/>
    </row>
    <row r="22" ht="9.75" customHeight="1">
      <c r="A22" s="9"/>
      <c r="B22" s="5"/>
      <c r="C22" s="3"/>
      <c r="D22" s="3"/>
      <c r="E22" s="3"/>
      <c r="F22" s="3"/>
      <c r="G22" s="3"/>
      <c r="H22" s="3"/>
      <c r="I22" s="3"/>
      <c r="J22" s="10"/>
    </row>
    <row r="23" ht="15.75" customHeight="1">
      <c r="A23" s="11" t="s">
        <v>19</v>
      </c>
      <c r="B23" s="28" t="s">
        <v>20</v>
      </c>
      <c r="C23" s="29">
        <v>3.0</v>
      </c>
      <c r="D23" s="16"/>
      <c r="E23" s="27"/>
      <c r="F23" s="3"/>
      <c r="G23" s="3"/>
      <c r="H23" s="3"/>
      <c r="I23" s="3"/>
      <c r="J23" s="10"/>
    </row>
    <row r="24" ht="9.75" customHeight="1">
      <c r="A24" s="30"/>
      <c r="B24" s="5"/>
      <c r="C24" s="31"/>
      <c r="D24" s="3"/>
      <c r="E24" s="3"/>
      <c r="F24" s="3"/>
      <c r="G24" s="3"/>
      <c r="H24" s="3"/>
      <c r="I24" s="3"/>
      <c r="J24" s="10"/>
    </row>
    <row r="25" ht="15.75" customHeight="1">
      <c r="A25" s="30" t="s">
        <v>21</v>
      </c>
      <c r="B25" s="3" t="s">
        <v>22</v>
      </c>
      <c r="C25" s="31"/>
      <c r="D25" s="16"/>
      <c r="E25" s="16"/>
      <c r="F25" s="3"/>
      <c r="G25" s="3"/>
      <c r="H25" s="3"/>
      <c r="I25" s="3"/>
      <c r="J25" s="10"/>
    </row>
    <row r="26" ht="15.75" customHeight="1">
      <c r="A26" s="32" t="s">
        <v>23</v>
      </c>
      <c r="B26" s="33" t="s">
        <v>24</v>
      </c>
      <c r="C26" s="34" t="s">
        <v>25</v>
      </c>
      <c r="D26" s="3"/>
      <c r="E26" s="3"/>
      <c r="F26" s="3"/>
      <c r="G26" s="3"/>
      <c r="H26" s="3"/>
      <c r="I26" s="3"/>
      <c r="J26" s="10"/>
      <c r="K26" s="27"/>
      <c r="L26" s="27"/>
      <c r="M26" s="27"/>
      <c r="N26" s="27"/>
      <c r="O26" s="27"/>
      <c r="P26" s="27"/>
      <c r="Q26" s="27"/>
      <c r="R26" s="27"/>
      <c r="S26" s="27"/>
      <c r="T26" s="27"/>
      <c r="U26" s="27"/>
      <c r="V26" s="27"/>
      <c r="W26" s="27"/>
      <c r="X26" s="27"/>
      <c r="Y26" s="27"/>
      <c r="Z26" s="27"/>
    </row>
    <row r="27" ht="15.75" customHeight="1">
      <c r="A27" s="35">
        <v>1.0</v>
      </c>
      <c r="B27" s="36" t="str">
        <f>IFERROR(OFFSET(Groups!$B$1,$L$16,$A27),"")</f>
        <v>NURUL ADRIANA BINTI KAMAL JEFRI</v>
      </c>
      <c r="C27" s="29">
        <v>3.0</v>
      </c>
      <c r="D27" s="3"/>
      <c r="E27" s="3"/>
      <c r="F27" s="3"/>
      <c r="G27" s="3"/>
      <c r="H27" s="3"/>
      <c r="I27" s="3"/>
      <c r="J27" s="10"/>
    </row>
    <row r="28" ht="15.75" customHeight="1">
      <c r="A28" s="35">
        <v>2.0</v>
      </c>
      <c r="B28" s="36" t="str">
        <f>IFERROR(OFFSET(Groups!$B$1,$L$16,$A28),"")</f>
        <v>AIN NURNABILA BINTI MOHD AZHAR</v>
      </c>
      <c r="C28" s="29">
        <v>3.0</v>
      </c>
      <c r="D28" s="3"/>
      <c r="E28" s="3"/>
      <c r="F28" s="3"/>
      <c r="G28" s="3"/>
      <c r="H28" s="3"/>
      <c r="I28" s="3"/>
      <c r="J28" s="10"/>
    </row>
    <row r="29" ht="15.75" customHeight="1">
      <c r="A29" s="35">
        <v>3.0</v>
      </c>
      <c r="B29" s="36" t="str">
        <f>IFERROR(OFFSET(Groups!$B$1,$L$16,$A29),"")</f>
        <v>SYARIFAH DANIA BINTI SYED ABU BAKAR</v>
      </c>
      <c r="C29" s="29">
        <v>3.0</v>
      </c>
      <c r="D29" s="3"/>
      <c r="E29" s="3"/>
      <c r="F29" s="3"/>
      <c r="G29" s="3"/>
      <c r="H29" s="3"/>
      <c r="I29" s="3"/>
      <c r="J29" s="10"/>
    </row>
    <row r="30" ht="15.75" customHeight="1">
      <c r="A30" s="35">
        <v>4.0</v>
      </c>
      <c r="B30" s="36" t="str">
        <f>IFERROR(OFFSET(Groups!$B$1,$L$16,$A30),"")</f>
        <v>DAMIYA AINA BINTI BASIR ABD SHAMMAD</v>
      </c>
      <c r="C30" s="29">
        <v>3.0</v>
      </c>
      <c r="D30" s="3"/>
      <c r="E30" s="3"/>
      <c r="F30" s="3"/>
      <c r="G30" s="3"/>
      <c r="H30" s="3"/>
      <c r="I30" s="3"/>
      <c r="J30" s="10"/>
    </row>
    <row r="31" ht="10.5" customHeight="1">
      <c r="A31" s="37"/>
      <c r="B31" s="20"/>
      <c r="C31" s="20"/>
      <c r="D31" s="20"/>
      <c r="E31" s="20"/>
      <c r="F31" s="20"/>
      <c r="G31" s="20"/>
      <c r="H31" s="20"/>
      <c r="I31" s="20"/>
      <c r="J31" s="21"/>
    </row>
    <row r="32" ht="9.75" customHeight="1">
      <c r="A32" s="27"/>
      <c r="B32" s="5"/>
      <c r="C32" s="3"/>
      <c r="D32" s="3"/>
      <c r="E32" s="3"/>
      <c r="F32" s="3"/>
      <c r="G32" s="3"/>
      <c r="H32" s="3"/>
      <c r="I32" s="3"/>
      <c r="J32" s="27"/>
    </row>
    <row r="33" ht="25.5" customHeight="1">
      <c r="A33" s="6" t="s">
        <v>26</v>
      </c>
      <c r="B33" s="6"/>
      <c r="C33" s="7"/>
      <c r="D33" s="7"/>
      <c r="E33" s="7"/>
      <c r="F33" s="7"/>
      <c r="G33" s="7"/>
      <c r="H33" s="7"/>
      <c r="I33" s="7"/>
      <c r="J33" s="8"/>
    </row>
    <row r="34" ht="9.75" customHeight="1">
      <c r="A34" s="38"/>
      <c r="B34" s="5"/>
      <c r="C34" s="3"/>
      <c r="D34" s="3"/>
      <c r="E34" s="3"/>
      <c r="F34" s="3"/>
      <c r="G34" s="3"/>
      <c r="H34" s="3"/>
      <c r="I34" s="3"/>
      <c r="J34" s="39"/>
    </row>
    <row r="35" ht="15.75" customHeight="1">
      <c r="A35" s="11" t="s">
        <v>27</v>
      </c>
      <c r="B35" s="3"/>
      <c r="C35" s="31"/>
      <c r="D35" s="16"/>
      <c r="E35" s="16"/>
      <c r="F35" s="3"/>
      <c r="G35" s="3"/>
      <c r="H35" s="3"/>
      <c r="I35" s="3"/>
      <c r="J35" s="10"/>
    </row>
    <row r="36" ht="15.75" customHeight="1">
      <c r="A36" s="11" t="s">
        <v>28</v>
      </c>
      <c r="B36" s="3" t="s">
        <v>29</v>
      </c>
      <c r="C36" s="31"/>
      <c r="D36" s="16"/>
      <c r="E36" s="16"/>
      <c r="F36" s="3"/>
      <c r="G36" s="3"/>
      <c r="H36" s="3"/>
      <c r="I36" s="3"/>
      <c r="J36" s="10"/>
    </row>
    <row r="37" ht="65.25" customHeight="1">
      <c r="A37" s="40" t="s">
        <v>23</v>
      </c>
      <c r="B37" s="33" t="s">
        <v>24</v>
      </c>
      <c r="C37" s="41" t="s">
        <v>30</v>
      </c>
      <c r="D37" s="34" t="s">
        <v>31</v>
      </c>
      <c r="E37" s="3"/>
      <c r="F37" s="3"/>
      <c r="G37" s="3"/>
      <c r="H37" s="3"/>
      <c r="I37" s="3"/>
      <c r="J37" s="10"/>
      <c r="K37" s="27"/>
      <c r="L37" s="27"/>
      <c r="M37" s="27"/>
      <c r="N37" s="27"/>
      <c r="O37" s="27"/>
      <c r="P37" s="27"/>
      <c r="Q37" s="27"/>
      <c r="R37" s="27"/>
      <c r="S37" s="27"/>
      <c r="T37" s="27"/>
      <c r="U37" s="27"/>
      <c r="V37" s="27"/>
      <c r="W37" s="27"/>
      <c r="X37" s="27"/>
      <c r="Y37" s="27"/>
      <c r="Z37" s="27"/>
    </row>
    <row r="38" ht="15.75" customHeight="1">
      <c r="A38" s="42">
        <v>1.0</v>
      </c>
      <c r="B38" s="36" t="str">
        <f t="shared" ref="B38:B41" si="1">OFFSET($A$26,$A38,1)</f>
        <v>NURUL ADRIANA BINTI KAMAL JEFRI</v>
      </c>
      <c r="C38" s="43"/>
      <c r="D38" s="29">
        <v>25.0</v>
      </c>
      <c r="E38" s="3"/>
      <c r="F38" s="3"/>
      <c r="G38" s="3"/>
      <c r="H38" s="3"/>
      <c r="I38" s="3"/>
      <c r="J38" s="10"/>
    </row>
    <row r="39" ht="15.75" customHeight="1">
      <c r="A39" s="42">
        <v>2.0</v>
      </c>
      <c r="B39" s="36" t="str">
        <f t="shared" si="1"/>
        <v>AIN NURNABILA BINTI MOHD AZHAR</v>
      </c>
      <c r="C39" s="44"/>
      <c r="D39" s="29">
        <v>25.0</v>
      </c>
      <c r="E39" s="3"/>
      <c r="F39" s="3"/>
      <c r="G39" s="3"/>
      <c r="H39" s="3"/>
      <c r="I39" s="3"/>
      <c r="J39" s="10"/>
    </row>
    <row r="40" ht="15.75" customHeight="1">
      <c r="A40" s="42">
        <v>3.0</v>
      </c>
      <c r="B40" s="36" t="str">
        <f t="shared" si="1"/>
        <v>SYARIFAH DANIA BINTI SYED ABU BAKAR</v>
      </c>
      <c r="C40" s="44"/>
      <c r="D40" s="29">
        <v>25.0</v>
      </c>
      <c r="E40" s="3"/>
      <c r="F40" s="3"/>
      <c r="G40" s="3"/>
      <c r="H40" s="3"/>
      <c r="I40" s="3"/>
      <c r="J40" s="10"/>
    </row>
    <row r="41" ht="15.75" customHeight="1">
      <c r="A41" s="42">
        <v>4.0</v>
      </c>
      <c r="B41" s="36" t="str">
        <f t="shared" si="1"/>
        <v>DAMIYA AINA BINTI BASIR ABD SHAMMAD</v>
      </c>
      <c r="C41" s="45"/>
      <c r="D41" s="29">
        <v>25.0</v>
      </c>
      <c r="E41" s="3"/>
      <c r="F41" s="3"/>
      <c r="G41" s="3"/>
      <c r="H41" s="3"/>
      <c r="I41" s="3"/>
      <c r="J41" s="10"/>
    </row>
    <row r="42" ht="15.75" customHeight="1">
      <c r="A42" s="46"/>
      <c r="B42" s="47" t="s">
        <v>32</v>
      </c>
      <c r="C42" s="48"/>
      <c r="D42" s="48">
        <f>SUM(D38:D41)</f>
        <v>100</v>
      </c>
      <c r="E42" s="49" t="s">
        <v>33</v>
      </c>
      <c r="F42" s="3"/>
      <c r="G42" s="3"/>
      <c r="H42" s="3"/>
      <c r="I42" s="3"/>
      <c r="J42" s="10"/>
    </row>
    <row r="43" ht="10.5" customHeight="1">
      <c r="A43" s="37"/>
      <c r="B43" s="20"/>
      <c r="C43" s="20"/>
      <c r="D43" s="20"/>
      <c r="E43" s="20"/>
      <c r="F43" s="20"/>
      <c r="G43" s="20"/>
      <c r="H43" s="20"/>
      <c r="I43" s="20"/>
      <c r="J43" s="21"/>
    </row>
    <row r="44" ht="9.75" customHeight="1">
      <c r="A44" s="27"/>
      <c r="B44" s="5"/>
      <c r="C44" s="3"/>
      <c r="D44" s="3"/>
      <c r="E44" s="3"/>
      <c r="F44" s="3"/>
      <c r="G44" s="3"/>
      <c r="H44" s="3"/>
      <c r="I44" s="3"/>
      <c r="J44" s="27"/>
    </row>
    <row r="45" ht="26.25" customHeight="1">
      <c r="A45" s="6" t="s">
        <v>34</v>
      </c>
      <c r="B45" s="6"/>
      <c r="C45" s="7"/>
      <c r="D45" s="7"/>
      <c r="E45" s="7"/>
      <c r="F45" s="7"/>
      <c r="G45" s="7"/>
      <c r="H45" s="7"/>
      <c r="I45" s="7"/>
      <c r="J45" s="8"/>
    </row>
    <row r="46" ht="7.5" customHeight="1">
      <c r="A46" s="38"/>
      <c r="B46" s="5"/>
      <c r="C46" s="3"/>
      <c r="D46" s="3"/>
      <c r="E46" s="3"/>
      <c r="F46" s="3"/>
      <c r="G46" s="3"/>
      <c r="H46" s="3"/>
      <c r="I46" s="3"/>
      <c r="J46" s="39"/>
    </row>
    <row r="47" ht="15.75" customHeight="1">
      <c r="A47" s="50" t="s">
        <v>35</v>
      </c>
      <c r="B47" s="51"/>
      <c r="C47" s="52"/>
      <c r="D47" s="53"/>
      <c r="E47" s="53"/>
      <c r="F47" s="3"/>
      <c r="G47" s="3"/>
      <c r="H47" s="3"/>
      <c r="I47" s="3"/>
      <c r="J47" s="10"/>
    </row>
    <row r="48" ht="9.75" customHeight="1">
      <c r="A48" s="38"/>
      <c r="B48" s="5"/>
      <c r="C48" s="3"/>
      <c r="D48" s="3"/>
      <c r="E48" s="3"/>
      <c r="F48" s="3"/>
      <c r="G48" s="3"/>
      <c r="H48" s="3"/>
      <c r="I48" s="3"/>
      <c r="J48" s="39"/>
    </row>
    <row r="49" ht="9.75" customHeight="1">
      <c r="A49" s="38"/>
      <c r="B49" s="5"/>
      <c r="C49" s="3"/>
      <c r="D49" s="3"/>
      <c r="E49" s="3"/>
      <c r="F49" s="3"/>
      <c r="G49" s="3"/>
      <c r="H49" s="3"/>
      <c r="I49" s="3"/>
      <c r="J49" s="39"/>
    </row>
    <row r="50" ht="42.0" customHeight="1">
      <c r="A50" s="40" t="s">
        <v>23</v>
      </c>
      <c r="B50" s="33" t="s">
        <v>24</v>
      </c>
      <c r="C50" s="34" t="s">
        <v>36</v>
      </c>
      <c r="D50" s="34" t="s">
        <v>37</v>
      </c>
      <c r="E50" s="34" t="s">
        <v>38</v>
      </c>
      <c r="F50" s="34" t="s">
        <v>39</v>
      </c>
      <c r="G50" s="54" t="s">
        <v>40</v>
      </c>
      <c r="H50" s="54" t="s">
        <v>41</v>
      </c>
      <c r="I50" s="54" t="s">
        <v>42</v>
      </c>
      <c r="J50" s="55" t="s">
        <v>32</v>
      </c>
      <c r="K50" s="27"/>
      <c r="L50" s="27"/>
      <c r="M50" s="27"/>
      <c r="N50" s="27"/>
      <c r="O50" s="27"/>
      <c r="P50" s="27"/>
      <c r="Q50" s="27"/>
      <c r="R50" s="27"/>
      <c r="S50" s="27"/>
      <c r="T50" s="27"/>
      <c r="U50" s="27"/>
      <c r="V50" s="27"/>
      <c r="W50" s="27"/>
      <c r="X50" s="27"/>
      <c r="Y50" s="27"/>
      <c r="Z50" s="27"/>
    </row>
    <row r="51" ht="20.25" customHeight="1">
      <c r="A51" s="42">
        <v>1.0</v>
      </c>
      <c r="B51" s="36" t="str">
        <f t="shared" ref="B51:B54" si="2">OFFSET($A$26,$A51,1)</f>
        <v>NURUL ADRIANA BINTI KAMAL JEFRI</v>
      </c>
      <c r="C51" s="56">
        <v>4.0</v>
      </c>
      <c r="D51" s="56">
        <v>4.0</v>
      </c>
      <c r="E51" s="56">
        <v>4.0</v>
      </c>
      <c r="F51" s="56">
        <v>4.0</v>
      </c>
      <c r="G51" s="56">
        <v>4.0</v>
      </c>
      <c r="H51" s="56">
        <v>4.0</v>
      </c>
      <c r="I51" s="56">
        <v>4.0</v>
      </c>
      <c r="J51" s="57">
        <f t="shared" ref="J51:J54" si="3">SUM(C51:I51)</f>
        <v>28</v>
      </c>
    </row>
    <row r="52" ht="20.25" customHeight="1">
      <c r="A52" s="42">
        <v>2.0</v>
      </c>
      <c r="B52" s="36" t="str">
        <f t="shared" si="2"/>
        <v>AIN NURNABILA BINTI MOHD AZHAR</v>
      </c>
      <c r="C52" s="56">
        <v>4.0</v>
      </c>
      <c r="D52" s="56">
        <v>4.0</v>
      </c>
      <c r="E52" s="56">
        <v>4.0</v>
      </c>
      <c r="F52" s="56">
        <v>4.0</v>
      </c>
      <c r="G52" s="56">
        <v>4.0</v>
      </c>
      <c r="H52" s="56">
        <v>4.0</v>
      </c>
      <c r="I52" s="56">
        <v>4.0</v>
      </c>
      <c r="J52" s="57">
        <f t="shared" si="3"/>
        <v>28</v>
      </c>
    </row>
    <row r="53" ht="20.25" customHeight="1">
      <c r="A53" s="42">
        <v>3.0</v>
      </c>
      <c r="B53" s="36" t="str">
        <f t="shared" si="2"/>
        <v>SYARIFAH DANIA BINTI SYED ABU BAKAR</v>
      </c>
      <c r="C53" s="56">
        <v>4.0</v>
      </c>
      <c r="D53" s="56">
        <v>4.0</v>
      </c>
      <c r="E53" s="56">
        <v>4.0</v>
      </c>
      <c r="F53" s="56">
        <v>4.0</v>
      </c>
      <c r="G53" s="56">
        <v>4.0</v>
      </c>
      <c r="H53" s="56">
        <v>4.0</v>
      </c>
      <c r="I53" s="56">
        <v>4.0</v>
      </c>
      <c r="J53" s="57">
        <f t="shared" si="3"/>
        <v>28</v>
      </c>
    </row>
    <row r="54" ht="20.25" customHeight="1">
      <c r="A54" s="42">
        <v>4.0</v>
      </c>
      <c r="B54" s="36" t="str">
        <f t="shared" si="2"/>
        <v>DAMIYA AINA BINTI BASIR ABD SHAMMAD</v>
      </c>
      <c r="C54" s="56">
        <v>4.0</v>
      </c>
      <c r="D54" s="56">
        <v>4.0</v>
      </c>
      <c r="E54" s="56">
        <v>4.0</v>
      </c>
      <c r="F54" s="56">
        <v>4.0</v>
      </c>
      <c r="G54" s="56">
        <v>4.0</v>
      </c>
      <c r="H54" s="56">
        <v>4.0</v>
      </c>
      <c r="I54" s="56">
        <v>4.0</v>
      </c>
      <c r="J54" s="57">
        <f t="shared" si="3"/>
        <v>28</v>
      </c>
    </row>
    <row r="55" ht="10.5" customHeight="1">
      <c r="A55" s="37"/>
      <c r="B55" s="20"/>
      <c r="C55" s="20"/>
      <c r="D55" s="20"/>
      <c r="E55" s="20"/>
      <c r="F55" s="20"/>
      <c r="G55" s="20"/>
      <c r="H55" s="20"/>
      <c r="I55" s="20"/>
      <c r="J55" s="21"/>
    </row>
    <row r="56" ht="30.0" customHeight="1">
      <c r="A56" s="58"/>
      <c r="B56" s="58"/>
      <c r="C56" s="58"/>
      <c r="D56" s="58"/>
      <c r="E56" s="58"/>
      <c r="F56" s="58"/>
      <c r="G56" s="58"/>
      <c r="H56" s="58"/>
      <c r="I56" s="58"/>
      <c r="J56" s="58"/>
    </row>
    <row r="57" ht="26.25" customHeight="1">
      <c r="A57" s="6" t="s">
        <v>43</v>
      </c>
      <c r="B57" s="6"/>
      <c r="C57" s="7"/>
      <c r="D57" s="7"/>
      <c r="E57" s="7"/>
      <c r="F57" s="7"/>
      <c r="G57" s="7"/>
      <c r="H57" s="7"/>
      <c r="I57" s="7"/>
      <c r="J57" s="8"/>
    </row>
    <row r="58" ht="7.5" customHeight="1">
      <c r="A58" s="38"/>
      <c r="B58" s="5"/>
      <c r="C58" s="3"/>
      <c r="D58" s="3"/>
      <c r="E58" s="3"/>
      <c r="F58" s="3"/>
      <c r="G58" s="3"/>
      <c r="H58" s="3"/>
      <c r="I58" s="3"/>
      <c r="J58" s="39"/>
    </row>
    <row r="59" ht="15.75" customHeight="1">
      <c r="A59" s="11" t="s">
        <v>44</v>
      </c>
      <c r="B59" s="51" t="s">
        <v>45</v>
      </c>
      <c r="C59" s="31"/>
      <c r="D59" s="16"/>
      <c r="E59" s="16"/>
      <c r="F59" s="3"/>
      <c r="G59" s="3"/>
      <c r="H59" s="3"/>
      <c r="I59" s="3"/>
      <c r="J59" s="10"/>
    </row>
    <row r="60" ht="48.75" customHeight="1">
      <c r="A60" s="59"/>
      <c r="B60" s="60" t="s">
        <v>46</v>
      </c>
      <c r="C60" s="24"/>
      <c r="D60" s="24"/>
      <c r="E60" s="24"/>
      <c r="F60" s="24"/>
      <c r="G60" s="24"/>
      <c r="H60" s="24"/>
      <c r="I60" s="25"/>
      <c r="J60" s="10"/>
    </row>
    <row r="61" ht="15.75" customHeight="1">
      <c r="A61" s="59"/>
      <c r="B61" s="51"/>
      <c r="C61" s="52"/>
      <c r="D61" s="53"/>
      <c r="E61" s="53"/>
      <c r="F61" s="3"/>
      <c r="G61" s="3"/>
      <c r="H61" s="3"/>
      <c r="I61" s="3"/>
      <c r="J61" s="10"/>
    </row>
    <row r="62" ht="46.5" customHeight="1">
      <c r="A62" s="11" t="s">
        <v>47</v>
      </c>
      <c r="B62" s="61" t="s">
        <v>48</v>
      </c>
      <c r="C62" s="62"/>
      <c r="D62" s="62"/>
      <c r="E62" s="62"/>
      <c r="F62" s="62"/>
      <c r="G62" s="62"/>
      <c r="H62" s="62"/>
      <c r="I62" s="62"/>
      <c r="J62" s="10"/>
    </row>
    <row r="63" ht="96.75" customHeight="1">
      <c r="A63" s="59"/>
      <c r="B63" s="60" t="s">
        <v>49</v>
      </c>
      <c r="C63" s="24"/>
      <c r="D63" s="24"/>
      <c r="E63" s="24"/>
      <c r="F63" s="24"/>
      <c r="G63" s="24"/>
      <c r="H63" s="24"/>
      <c r="I63" s="25"/>
      <c r="J63" s="10"/>
    </row>
    <row r="64" ht="15.75" customHeight="1">
      <c r="A64" s="63"/>
      <c r="B64" s="64"/>
      <c r="C64" s="64"/>
      <c r="D64" s="64"/>
      <c r="E64" s="64"/>
      <c r="F64" s="64"/>
      <c r="G64" s="64"/>
      <c r="H64" s="64"/>
      <c r="I64" s="64"/>
      <c r="J64" s="65"/>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62:I62"/>
    <mergeCell ref="B63:I63"/>
    <mergeCell ref="A1:J1"/>
    <mergeCell ref="A2:J2"/>
    <mergeCell ref="A3:J3"/>
    <mergeCell ref="A5:J5"/>
    <mergeCell ref="B9:J9"/>
    <mergeCell ref="C18:E18"/>
    <mergeCell ref="B60:I60"/>
  </mergeCells>
  <conditionalFormatting sqref="B27:B30">
    <cfRule type="cellIs" dxfId="0" priority="1" operator="equal">
      <formula>$C$18</formula>
    </cfRule>
  </conditionalFormatting>
  <conditionalFormatting sqref="B38:B42">
    <cfRule type="cellIs" dxfId="0" priority="2" operator="equal">
      <formula>$C$18</formula>
    </cfRule>
  </conditionalFormatting>
  <conditionalFormatting sqref="B51:B54">
    <cfRule type="cellIs" dxfId="0" priority="3" operator="equal">
      <formula>$C$18</formula>
    </cfRule>
  </conditionalFormatting>
  <conditionalFormatting sqref="C42:D42">
    <cfRule type="cellIs" dxfId="1" priority="4" operator="notEqual">
      <formula>100</formula>
    </cfRule>
  </conditionalFormatting>
  <dataValidations>
    <dataValidation type="list" allowBlank="1" showErrorMessage="1" sqref="C16">
      <formula1>Groups!$B$2:$B$13</formula1>
    </dataValidation>
    <dataValidation type="list" allowBlank="1" showErrorMessage="1" sqref="C11 F11">
      <formula1>"Week 1,Week 2,Week 3,Week 4,Week 5,Week 6,Week 7,Week 8,Week 9,Week 10,Week 11,Week 12,Week 13,Week 14,Week 15"</formula1>
    </dataValidation>
    <dataValidation type="list" allowBlank="1" showErrorMessage="1" sqref="C51:I54">
      <formula1>"1,2,3,4"</formula1>
    </dataValidation>
    <dataValidation type="list" allowBlank="1" showErrorMessage="1" sqref="C18">
      <formula1>$B$27:$B$30</formula1>
    </dataValidation>
  </dataValidations>
  <printOptions/>
  <pageMargins bottom="0.75" footer="0.0" header="0.0" left="0.7" right="0.7" top="0.75"/>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6"/>
    <col customWidth="1" min="2" max="2" width="36.57"/>
    <col customWidth="1" min="3" max="6" width="21.14"/>
    <col customWidth="1" min="7" max="26" width="9.14"/>
  </cols>
  <sheetData>
    <row r="1" ht="51.0" customHeight="1">
      <c r="A1" s="66" t="s">
        <v>50</v>
      </c>
      <c r="B1" s="24"/>
      <c r="C1" s="24"/>
      <c r="D1" s="24"/>
      <c r="E1" s="24"/>
      <c r="F1" s="25"/>
      <c r="G1" s="67"/>
      <c r="H1" s="67"/>
      <c r="I1" s="67"/>
      <c r="J1" s="67"/>
      <c r="K1" s="67"/>
      <c r="L1" s="67"/>
      <c r="M1" s="67"/>
      <c r="N1" s="67"/>
      <c r="O1" s="67"/>
      <c r="P1" s="67"/>
      <c r="Q1" s="67"/>
      <c r="R1" s="67"/>
      <c r="S1" s="67"/>
      <c r="T1" s="67"/>
      <c r="U1" s="67"/>
      <c r="V1" s="67"/>
      <c r="W1" s="67"/>
      <c r="X1" s="67"/>
      <c r="Y1" s="67"/>
      <c r="Z1" s="67"/>
    </row>
    <row r="2" ht="41.25" customHeight="1">
      <c r="A2" s="68" t="s">
        <v>51</v>
      </c>
      <c r="B2" s="24"/>
      <c r="C2" s="24"/>
      <c r="D2" s="24"/>
      <c r="E2" s="24"/>
      <c r="F2" s="25"/>
      <c r="G2" s="67"/>
      <c r="H2" s="67"/>
      <c r="I2" s="67"/>
      <c r="J2" s="67"/>
      <c r="K2" s="67"/>
      <c r="L2" s="67"/>
      <c r="M2" s="67"/>
      <c r="N2" s="67"/>
      <c r="O2" s="67"/>
      <c r="P2" s="67"/>
      <c r="Q2" s="67"/>
      <c r="R2" s="67"/>
      <c r="S2" s="67"/>
      <c r="T2" s="67"/>
      <c r="U2" s="67"/>
      <c r="V2" s="67"/>
      <c r="W2" s="67"/>
      <c r="X2" s="67"/>
      <c r="Y2" s="67"/>
      <c r="Z2" s="67"/>
    </row>
    <row r="3" ht="18.0" customHeight="1">
      <c r="A3" s="69" t="s">
        <v>52</v>
      </c>
      <c r="B3" s="69" t="s">
        <v>53</v>
      </c>
      <c r="C3" s="70" t="s">
        <v>54</v>
      </c>
      <c r="D3" s="24"/>
      <c r="E3" s="24"/>
      <c r="F3" s="25"/>
      <c r="G3" s="71"/>
      <c r="H3" s="71"/>
      <c r="I3" s="71"/>
      <c r="J3" s="71"/>
      <c r="K3" s="71"/>
      <c r="L3" s="71"/>
      <c r="M3" s="71"/>
      <c r="N3" s="71"/>
      <c r="O3" s="71"/>
      <c r="P3" s="71"/>
      <c r="Q3" s="71"/>
      <c r="R3" s="71"/>
      <c r="S3" s="71"/>
      <c r="T3" s="71"/>
      <c r="U3" s="71"/>
      <c r="V3" s="71"/>
      <c r="W3" s="71"/>
      <c r="X3" s="71"/>
      <c r="Y3" s="71"/>
      <c r="Z3" s="71"/>
    </row>
    <row r="4" ht="18.0" customHeight="1">
      <c r="A4" s="72"/>
      <c r="B4" s="72"/>
      <c r="C4" s="73">
        <v>1.0</v>
      </c>
      <c r="D4" s="73">
        <v>2.0</v>
      </c>
      <c r="E4" s="73">
        <v>3.0</v>
      </c>
      <c r="F4" s="73">
        <v>4.0</v>
      </c>
      <c r="G4" s="71"/>
      <c r="H4" s="71"/>
      <c r="I4" s="71"/>
      <c r="J4" s="71"/>
      <c r="K4" s="71"/>
      <c r="L4" s="71"/>
      <c r="M4" s="71"/>
      <c r="N4" s="71"/>
      <c r="O4" s="71"/>
      <c r="P4" s="71"/>
      <c r="Q4" s="71"/>
      <c r="R4" s="71"/>
      <c r="S4" s="71"/>
      <c r="T4" s="71"/>
      <c r="U4" s="71"/>
      <c r="V4" s="71"/>
      <c r="W4" s="71"/>
      <c r="X4" s="71"/>
      <c r="Y4" s="71"/>
      <c r="Z4" s="71"/>
    </row>
    <row r="5" ht="48.0" customHeight="1">
      <c r="A5" s="74" t="s">
        <v>55</v>
      </c>
      <c r="B5" s="75" t="s">
        <v>56</v>
      </c>
      <c r="C5" s="76" t="s">
        <v>57</v>
      </c>
      <c r="D5" s="77" t="s">
        <v>58</v>
      </c>
      <c r="E5" s="77" t="s">
        <v>59</v>
      </c>
      <c r="F5" s="77" t="s">
        <v>60</v>
      </c>
      <c r="G5" s="67"/>
      <c r="H5" s="67"/>
      <c r="I5" s="67"/>
      <c r="J5" s="67"/>
      <c r="K5" s="67"/>
      <c r="L5" s="67"/>
      <c r="M5" s="67"/>
      <c r="N5" s="67"/>
      <c r="O5" s="67"/>
      <c r="P5" s="67"/>
      <c r="Q5" s="67"/>
      <c r="R5" s="67"/>
      <c r="S5" s="67"/>
      <c r="T5" s="67"/>
      <c r="U5" s="67"/>
      <c r="V5" s="67"/>
      <c r="W5" s="67"/>
      <c r="X5" s="67"/>
      <c r="Y5" s="67"/>
      <c r="Z5" s="67"/>
    </row>
    <row r="6" ht="33.75" customHeight="1">
      <c r="A6" s="74" t="s">
        <v>61</v>
      </c>
      <c r="B6" s="75" t="s">
        <v>62</v>
      </c>
      <c r="C6" s="76" t="s">
        <v>63</v>
      </c>
      <c r="D6" s="77" t="s">
        <v>64</v>
      </c>
      <c r="E6" s="77" t="s">
        <v>65</v>
      </c>
      <c r="F6" s="77" t="s">
        <v>66</v>
      </c>
      <c r="G6" s="67"/>
      <c r="H6" s="67"/>
      <c r="I6" s="67"/>
      <c r="J6" s="67"/>
      <c r="K6" s="67"/>
      <c r="L6" s="67"/>
      <c r="M6" s="67"/>
      <c r="N6" s="67"/>
      <c r="O6" s="67"/>
      <c r="P6" s="67"/>
      <c r="Q6" s="67"/>
      <c r="R6" s="67"/>
      <c r="S6" s="67"/>
      <c r="T6" s="67"/>
      <c r="U6" s="67"/>
      <c r="V6" s="67"/>
      <c r="W6" s="67"/>
      <c r="X6" s="67"/>
      <c r="Y6" s="67"/>
      <c r="Z6" s="67"/>
    </row>
    <row r="7" ht="43.5" customHeight="1">
      <c r="A7" s="68" t="s">
        <v>67</v>
      </c>
      <c r="B7" s="24"/>
      <c r="C7" s="24"/>
      <c r="D7" s="24"/>
      <c r="E7" s="24"/>
      <c r="F7" s="25"/>
      <c r="G7" s="67"/>
      <c r="H7" s="67"/>
      <c r="I7" s="67"/>
      <c r="J7" s="67"/>
      <c r="K7" s="67"/>
      <c r="L7" s="67"/>
      <c r="M7" s="67"/>
      <c r="N7" s="67"/>
      <c r="O7" s="67"/>
      <c r="P7" s="67"/>
      <c r="Q7" s="67"/>
      <c r="R7" s="67"/>
      <c r="S7" s="67"/>
      <c r="T7" s="67"/>
      <c r="U7" s="67"/>
      <c r="V7" s="67"/>
      <c r="W7" s="67"/>
      <c r="X7" s="67"/>
      <c r="Y7" s="67"/>
      <c r="Z7" s="67"/>
    </row>
    <row r="8" ht="18.0" customHeight="1">
      <c r="A8" s="69" t="s">
        <v>52</v>
      </c>
      <c r="B8" s="69" t="s">
        <v>53</v>
      </c>
      <c r="C8" s="70" t="s">
        <v>54</v>
      </c>
      <c r="D8" s="24"/>
      <c r="E8" s="24"/>
      <c r="F8" s="25"/>
      <c r="G8" s="71"/>
      <c r="H8" s="71"/>
      <c r="I8" s="71"/>
      <c r="J8" s="71"/>
      <c r="K8" s="71"/>
      <c r="L8" s="71"/>
      <c r="M8" s="71"/>
      <c r="N8" s="71"/>
      <c r="O8" s="71"/>
      <c r="P8" s="71"/>
      <c r="Q8" s="71"/>
      <c r="R8" s="71"/>
      <c r="S8" s="71"/>
      <c r="T8" s="71"/>
      <c r="U8" s="71"/>
      <c r="V8" s="71"/>
      <c r="W8" s="71"/>
      <c r="X8" s="71"/>
      <c r="Y8" s="71"/>
      <c r="Z8" s="71"/>
    </row>
    <row r="9" ht="18.0" customHeight="1">
      <c r="A9" s="72"/>
      <c r="B9" s="72"/>
      <c r="C9" s="73">
        <v>1.0</v>
      </c>
      <c r="D9" s="73">
        <v>2.0</v>
      </c>
      <c r="E9" s="73">
        <v>3.0</v>
      </c>
      <c r="F9" s="73">
        <v>4.0</v>
      </c>
      <c r="G9" s="71"/>
      <c r="H9" s="71"/>
      <c r="I9" s="71"/>
      <c r="J9" s="71"/>
      <c r="K9" s="71"/>
      <c r="L9" s="71"/>
      <c r="M9" s="71"/>
      <c r="N9" s="71"/>
      <c r="O9" s="71"/>
      <c r="P9" s="71"/>
      <c r="Q9" s="71"/>
      <c r="R9" s="71"/>
      <c r="S9" s="71"/>
      <c r="T9" s="71"/>
      <c r="U9" s="71"/>
      <c r="V9" s="71"/>
      <c r="W9" s="71"/>
      <c r="X9" s="71"/>
      <c r="Y9" s="71"/>
      <c r="Z9" s="71"/>
    </row>
    <row r="10" ht="64.5" customHeight="1">
      <c r="A10" s="74" t="s">
        <v>68</v>
      </c>
      <c r="B10" s="75" t="s">
        <v>69</v>
      </c>
      <c r="C10" s="76" t="s">
        <v>70</v>
      </c>
      <c r="D10" s="76" t="s">
        <v>71</v>
      </c>
      <c r="E10" s="77" t="s">
        <v>72</v>
      </c>
      <c r="F10" s="77" t="s">
        <v>73</v>
      </c>
      <c r="G10" s="67"/>
      <c r="H10" s="67"/>
      <c r="I10" s="67"/>
      <c r="J10" s="67"/>
      <c r="K10" s="67"/>
      <c r="L10" s="67"/>
      <c r="M10" s="67"/>
      <c r="N10" s="67"/>
      <c r="O10" s="67"/>
      <c r="P10" s="67"/>
      <c r="Q10" s="67"/>
      <c r="R10" s="67"/>
      <c r="S10" s="67"/>
      <c r="T10" s="67"/>
      <c r="U10" s="67"/>
      <c r="V10" s="67"/>
      <c r="W10" s="67"/>
      <c r="X10" s="67"/>
      <c r="Y10" s="67"/>
      <c r="Z10" s="67"/>
    </row>
    <row r="11" ht="64.5" customHeight="1">
      <c r="A11" s="74" t="s">
        <v>74</v>
      </c>
      <c r="B11" s="75" t="s">
        <v>75</v>
      </c>
      <c r="C11" s="76" t="s">
        <v>76</v>
      </c>
      <c r="D11" s="76" t="s">
        <v>77</v>
      </c>
      <c r="E11" s="77" t="s">
        <v>78</v>
      </c>
      <c r="F11" s="77" t="s">
        <v>79</v>
      </c>
      <c r="G11" s="67"/>
      <c r="H11" s="67"/>
      <c r="I11" s="67"/>
      <c r="J11" s="67"/>
      <c r="K11" s="67"/>
      <c r="L11" s="67"/>
      <c r="M11" s="67"/>
      <c r="N11" s="67"/>
      <c r="O11" s="67"/>
      <c r="P11" s="67"/>
      <c r="Q11" s="67"/>
      <c r="R11" s="67"/>
      <c r="S11" s="67"/>
      <c r="T11" s="67"/>
      <c r="U11" s="67"/>
      <c r="V11" s="67"/>
      <c r="W11" s="67"/>
      <c r="X11" s="67"/>
      <c r="Y11" s="67"/>
      <c r="Z11" s="67"/>
    </row>
    <row r="12" ht="64.5" customHeight="1">
      <c r="A12" s="74" t="s">
        <v>80</v>
      </c>
      <c r="B12" s="75" t="s">
        <v>81</v>
      </c>
      <c r="C12" s="76" t="s">
        <v>82</v>
      </c>
      <c r="D12" s="77" t="s">
        <v>83</v>
      </c>
      <c r="E12" s="77" t="s">
        <v>84</v>
      </c>
      <c r="F12" s="77" t="s">
        <v>85</v>
      </c>
      <c r="G12" s="67"/>
      <c r="H12" s="67"/>
      <c r="I12" s="67"/>
      <c r="J12" s="67"/>
      <c r="K12" s="67"/>
      <c r="L12" s="67"/>
      <c r="M12" s="67"/>
      <c r="N12" s="67"/>
      <c r="O12" s="67"/>
      <c r="P12" s="67"/>
      <c r="Q12" s="67"/>
      <c r="R12" s="67"/>
      <c r="S12" s="67"/>
      <c r="T12" s="67"/>
      <c r="U12" s="67"/>
      <c r="V12" s="67"/>
      <c r="W12" s="67"/>
      <c r="X12" s="67"/>
      <c r="Y12" s="67"/>
      <c r="Z12" s="67"/>
    </row>
    <row r="13" ht="44.25" customHeight="1">
      <c r="A13" s="68" t="s">
        <v>86</v>
      </c>
      <c r="B13" s="24"/>
      <c r="C13" s="24"/>
      <c r="D13" s="24"/>
      <c r="E13" s="24"/>
      <c r="F13" s="25"/>
      <c r="G13" s="67"/>
      <c r="H13" s="67"/>
      <c r="I13" s="67"/>
      <c r="J13" s="67"/>
      <c r="K13" s="67"/>
      <c r="L13" s="67"/>
      <c r="M13" s="67"/>
      <c r="N13" s="67"/>
      <c r="O13" s="67"/>
      <c r="P13" s="67"/>
      <c r="Q13" s="67"/>
      <c r="R13" s="67"/>
      <c r="S13" s="67"/>
      <c r="T13" s="67"/>
      <c r="U13" s="67"/>
      <c r="V13" s="67"/>
      <c r="W13" s="67"/>
      <c r="X13" s="67"/>
      <c r="Y13" s="67"/>
      <c r="Z13" s="67"/>
    </row>
    <row r="14" ht="18.0" customHeight="1">
      <c r="A14" s="69" t="s">
        <v>52</v>
      </c>
      <c r="B14" s="69" t="s">
        <v>53</v>
      </c>
      <c r="C14" s="70" t="s">
        <v>54</v>
      </c>
      <c r="D14" s="24"/>
      <c r="E14" s="24"/>
      <c r="F14" s="25"/>
      <c r="G14" s="71"/>
      <c r="H14" s="71"/>
      <c r="I14" s="71"/>
      <c r="J14" s="71"/>
      <c r="K14" s="71"/>
      <c r="L14" s="71"/>
      <c r="M14" s="71"/>
      <c r="N14" s="71"/>
      <c r="O14" s="71"/>
      <c r="P14" s="71"/>
      <c r="Q14" s="71"/>
      <c r="R14" s="71"/>
      <c r="S14" s="71"/>
      <c r="T14" s="71"/>
      <c r="U14" s="71"/>
      <c r="V14" s="71"/>
      <c r="W14" s="71"/>
      <c r="X14" s="71"/>
      <c r="Y14" s="71"/>
      <c r="Z14" s="71"/>
    </row>
    <row r="15" ht="18.0" customHeight="1">
      <c r="A15" s="72"/>
      <c r="B15" s="72"/>
      <c r="C15" s="73">
        <v>1.0</v>
      </c>
      <c r="D15" s="73">
        <v>2.0</v>
      </c>
      <c r="E15" s="73">
        <v>3.0</v>
      </c>
      <c r="F15" s="73">
        <v>4.0</v>
      </c>
      <c r="G15" s="71"/>
      <c r="H15" s="71"/>
      <c r="I15" s="71"/>
      <c r="J15" s="71"/>
      <c r="K15" s="71"/>
      <c r="L15" s="71"/>
      <c r="M15" s="71"/>
      <c r="N15" s="71"/>
      <c r="O15" s="71"/>
      <c r="P15" s="71"/>
      <c r="Q15" s="71"/>
      <c r="R15" s="71"/>
      <c r="S15" s="71"/>
      <c r="T15" s="71"/>
      <c r="U15" s="71"/>
      <c r="V15" s="71"/>
      <c r="W15" s="71"/>
      <c r="X15" s="71"/>
      <c r="Y15" s="71"/>
      <c r="Z15" s="71"/>
    </row>
    <row r="16" ht="59.25" customHeight="1">
      <c r="A16" s="74" t="s">
        <v>87</v>
      </c>
      <c r="B16" s="75" t="s">
        <v>88</v>
      </c>
      <c r="C16" s="76" t="s">
        <v>89</v>
      </c>
      <c r="D16" s="76" t="s">
        <v>90</v>
      </c>
      <c r="E16" s="77" t="s">
        <v>91</v>
      </c>
      <c r="F16" s="77" t="s">
        <v>92</v>
      </c>
      <c r="G16" s="67"/>
      <c r="H16" s="67"/>
      <c r="I16" s="67"/>
      <c r="J16" s="67"/>
      <c r="K16" s="67"/>
      <c r="L16" s="67"/>
      <c r="M16" s="67"/>
      <c r="N16" s="67"/>
      <c r="O16" s="67"/>
      <c r="P16" s="67"/>
      <c r="Q16" s="67"/>
      <c r="R16" s="67"/>
      <c r="S16" s="67"/>
      <c r="T16" s="67"/>
      <c r="U16" s="67"/>
      <c r="V16" s="67"/>
      <c r="W16" s="67"/>
      <c r="X16" s="67"/>
      <c r="Y16" s="67"/>
      <c r="Z16" s="67"/>
    </row>
    <row r="17" ht="51.75" customHeight="1">
      <c r="A17" s="74" t="s">
        <v>93</v>
      </c>
      <c r="B17" s="75" t="s">
        <v>94</v>
      </c>
      <c r="C17" s="76" t="s">
        <v>95</v>
      </c>
      <c r="D17" s="77" t="s">
        <v>96</v>
      </c>
      <c r="E17" s="77" t="s">
        <v>97</v>
      </c>
      <c r="F17" s="77" t="s">
        <v>98</v>
      </c>
      <c r="G17" s="67"/>
      <c r="H17" s="67"/>
      <c r="I17" s="67"/>
      <c r="J17" s="67"/>
      <c r="K17" s="67"/>
      <c r="L17" s="67"/>
      <c r="M17" s="67"/>
      <c r="N17" s="67"/>
      <c r="O17" s="67"/>
      <c r="P17" s="67"/>
      <c r="Q17" s="67"/>
      <c r="R17" s="67"/>
      <c r="S17" s="67"/>
      <c r="T17" s="67"/>
      <c r="U17" s="67"/>
      <c r="V17" s="67"/>
      <c r="W17" s="67"/>
      <c r="X17" s="67"/>
      <c r="Y17" s="67"/>
      <c r="Z17" s="67"/>
    </row>
    <row r="18">
      <c r="A18" s="67"/>
      <c r="B18" s="67"/>
      <c r="C18" s="67"/>
      <c r="D18" s="67"/>
      <c r="E18" s="67"/>
      <c r="F18" s="67"/>
      <c r="G18" s="67"/>
      <c r="H18" s="67"/>
      <c r="I18" s="67"/>
      <c r="J18" s="67"/>
      <c r="K18" s="67"/>
      <c r="L18" s="67"/>
      <c r="M18" s="67"/>
      <c r="N18" s="67"/>
      <c r="O18" s="67"/>
      <c r="P18" s="67"/>
      <c r="Q18" s="67"/>
      <c r="R18" s="67"/>
      <c r="S18" s="67"/>
      <c r="T18" s="67"/>
      <c r="U18" s="67"/>
      <c r="V18" s="67"/>
      <c r="W18" s="67"/>
      <c r="X18" s="67"/>
      <c r="Y18" s="67"/>
      <c r="Z18" s="67"/>
    </row>
    <row r="19">
      <c r="A19" s="67"/>
      <c r="B19" s="67"/>
      <c r="C19" s="67"/>
      <c r="D19" s="67"/>
      <c r="E19" s="67"/>
      <c r="F19" s="67"/>
      <c r="G19" s="67"/>
      <c r="H19" s="67"/>
      <c r="I19" s="67"/>
      <c r="J19" s="67"/>
      <c r="K19" s="67"/>
      <c r="L19" s="67"/>
      <c r="M19" s="67"/>
      <c r="N19" s="67"/>
      <c r="O19" s="67"/>
      <c r="P19" s="67"/>
      <c r="Q19" s="67"/>
      <c r="R19" s="67"/>
      <c r="S19" s="67"/>
      <c r="T19" s="67"/>
      <c r="U19" s="67"/>
      <c r="V19" s="67"/>
      <c r="W19" s="67"/>
      <c r="X19" s="67"/>
      <c r="Y19" s="67"/>
      <c r="Z19" s="67"/>
    </row>
    <row r="20">
      <c r="A20" s="67"/>
      <c r="B20" s="67"/>
      <c r="C20" s="67"/>
      <c r="D20" s="67"/>
      <c r="E20" s="67"/>
      <c r="F20" s="67"/>
      <c r="G20" s="67"/>
      <c r="H20" s="67"/>
      <c r="I20" s="67"/>
      <c r="J20" s="67"/>
      <c r="K20" s="67"/>
      <c r="L20" s="67"/>
      <c r="M20" s="67"/>
      <c r="N20" s="67"/>
      <c r="O20" s="67"/>
      <c r="P20" s="67"/>
      <c r="Q20" s="67"/>
      <c r="R20" s="67"/>
      <c r="S20" s="67"/>
      <c r="T20" s="67"/>
      <c r="U20" s="67"/>
      <c r="V20" s="67"/>
      <c r="W20" s="67"/>
      <c r="X20" s="67"/>
      <c r="Y20" s="67"/>
      <c r="Z20" s="67"/>
    </row>
    <row r="21" ht="15.75" customHeight="1">
      <c r="A21" s="67"/>
      <c r="B21" s="67"/>
      <c r="C21" s="67"/>
      <c r="D21" s="67"/>
      <c r="E21" s="67"/>
      <c r="F21" s="67"/>
      <c r="G21" s="67"/>
      <c r="H21" s="67"/>
      <c r="I21" s="67"/>
      <c r="J21" s="67"/>
      <c r="K21" s="67"/>
      <c r="L21" s="67"/>
      <c r="M21" s="67"/>
      <c r="N21" s="67"/>
      <c r="O21" s="67"/>
      <c r="P21" s="67"/>
      <c r="Q21" s="67"/>
      <c r="R21" s="67"/>
      <c r="S21" s="67"/>
      <c r="T21" s="67"/>
      <c r="U21" s="67"/>
      <c r="V21" s="67"/>
      <c r="W21" s="67"/>
      <c r="X21" s="67"/>
      <c r="Y21" s="67"/>
      <c r="Z21" s="67"/>
    </row>
    <row r="22" ht="15.75" customHeight="1">
      <c r="A22" s="67"/>
      <c r="B22" s="67"/>
      <c r="C22" s="67"/>
      <c r="D22" s="67"/>
      <c r="E22" s="67"/>
      <c r="F22" s="67"/>
      <c r="G22" s="67"/>
      <c r="H22" s="67"/>
      <c r="I22" s="67"/>
      <c r="J22" s="67"/>
      <c r="K22" s="67"/>
      <c r="L22" s="67"/>
      <c r="M22" s="67"/>
      <c r="N22" s="67"/>
      <c r="O22" s="67"/>
      <c r="P22" s="67"/>
      <c r="Q22" s="67"/>
      <c r="R22" s="67"/>
      <c r="S22" s="67"/>
      <c r="T22" s="67"/>
      <c r="U22" s="67"/>
      <c r="V22" s="67"/>
      <c r="W22" s="67"/>
      <c r="X22" s="67"/>
      <c r="Y22" s="67"/>
      <c r="Z22" s="67"/>
    </row>
    <row r="23" ht="15.75" customHeight="1">
      <c r="A23" s="67"/>
      <c r="B23" s="67"/>
      <c r="C23" s="67"/>
      <c r="D23" s="67"/>
      <c r="E23" s="67"/>
      <c r="F23" s="67"/>
      <c r="G23" s="67"/>
      <c r="H23" s="67"/>
      <c r="I23" s="67"/>
      <c r="J23" s="67"/>
      <c r="K23" s="67"/>
      <c r="L23" s="67"/>
      <c r="M23" s="67"/>
      <c r="N23" s="67"/>
      <c r="O23" s="67"/>
      <c r="P23" s="67"/>
      <c r="Q23" s="67"/>
      <c r="R23" s="67"/>
      <c r="S23" s="67"/>
      <c r="T23" s="67"/>
      <c r="U23" s="67"/>
      <c r="V23" s="67"/>
      <c r="W23" s="67"/>
      <c r="X23" s="67"/>
      <c r="Y23" s="67"/>
      <c r="Z23" s="67"/>
    </row>
    <row r="24" ht="15.75" customHeight="1">
      <c r="A24" s="67"/>
      <c r="B24" s="67"/>
      <c r="C24" s="67"/>
      <c r="D24" s="67"/>
      <c r="E24" s="67"/>
      <c r="F24" s="67"/>
      <c r="G24" s="67"/>
      <c r="H24" s="67"/>
      <c r="I24" s="67"/>
      <c r="J24" s="67"/>
      <c r="K24" s="67"/>
      <c r="L24" s="67"/>
      <c r="M24" s="67"/>
      <c r="N24" s="67"/>
      <c r="O24" s="67"/>
      <c r="P24" s="67"/>
      <c r="Q24" s="67"/>
      <c r="R24" s="67"/>
      <c r="S24" s="67"/>
      <c r="T24" s="67"/>
      <c r="U24" s="67"/>
      <c r="V24" s="67"/>
      <c r="W24" s="67"/>
      <c r="X24" s="67"/>
      <c r="Y24" s="67"/>
      <c r="Z24" s="67"/>
    </row>
    <row r="25" ht="15.75" customHeight="1">
      <c r="A25" s="67"/>
      <c r="B25" s="67"/>
      <c r="C25" s="67"/>
      <c r="D25" s="67"/>
      <c r="E25" s="67"/>
      <c r="F25" s="67"/>
      <c r="G25" s="67"/>
      <c r="H25" s="67"/>
      <c r="I25" s="67"/>
      <c r="J25" s="67"/>
      <c r="K25" s="67"/>
      <c r="L25" s="67"/>
      <c r="M25" s="67"/>
      <c r="N25" s="67"/>
      <c r="O25" s="67"/>
      <c r="P25" s="67"/>
      <c r="Q25" s="67"/>
      <c r="R25" s="67"/>
      <c r="S25" s="67"/>
      <c r="T25" s="67"/>
      <c r="U25" s="67"/>
      <c r="V25" s="67"/>
      <c r="W25" s="67"/>
      <c r="X25" s="67"/>
      <c r="Y25" s="67"/>
      <c r="Z25" s="67"/>
    </row>
    <row r="26" ht="15.75" customHeight="1">
      <c r="A26" s="67"/>
      <c r="B26" s="67"/>
      <c r="C26" s="67"/>
      <c r="D26" s="67"/>
      <c r="E26" s="67"/>
      <c r="F26" s="67"/>
      <c r="G26" s="67"/>
      <c r="H26" s="67"/>
      <c r="I26" s="67"/>
      <c r="J26" s="67"/>
      <c r="K26" s="67"/>
      <c r="L26" s="67"/>
      <c r="M26" s="67"/>
      <c r="N26" s="67"/>
      <c r="O26" s="67"/>
      <c r="P26" s="67"/>
      <c r="Q26" s="67"/>
      <c r="R26" s="67"/>
      <c r="S26" s="67"/>
      <c r="T26" s="67"/>
      <c r="U26" s="67"/>
      <c r="V26" s="67"/>
      <c r="W26" s="67"/>
      <c r="X26" s="67"/>
      <c r="Y26" s="67"/>
      <c r="Z26" s="67"/>
    </row>
    <row r="27" ht="15.75" customHeight="1">
      <c r="A27" s="67"/>
      <c r="B27" s="67"/>
      <c r="C27" s="67"/>
      <c r="D27" s="67"/>
      <c r="E27" s="67"/>
      <c r="F27" s="67"/>
      <c r="G27" s="67"/>
      <c r="H27" s="67"/>
      <c r="I27" s="67"/>
      <c r="J27" s="67"/>
      <c r="K27" s="67"/>
      <c r="L27" s="67"/>
      <c r="M27" s="67"/>
      <c r="N27" s="67"/>
      <c r="O27" s="67"/>
      <c r="P27" s="67"/>
      <c r="Q27" s="67"/>
      <c r="R27" s="67"/>
      <c r="S27" s="67"/>
      <c r="T27" s="67"/>
      <c r="U27" s="67"/>
      <c r="V27" s="67"/>
      <c r="W27" s="67"/>
      <c r="X27" s="67"/>
      <c r="Y27" s="67"/>
      <c r="Z27" s="67"/>
    </row>
    <row r="28" ht="15.75" customHeight="1">
      <c r="A28" s="67"/>
      <c r="B28" s="67"/>
      <c r="C28" s="67"/>
      <c r="D28" s="67"/>
      <c r="E28" s="67"/>
      <c r="F28" s="67"/>
      <c r="G28" s="67"/>
      <c r="H28" s="67"/>
      <c r="I28" s="67"/>
      <c r="J28" s="67"/>
      <c r="K28" s="67"/>
      <c r="L28" s="67"/>
      <c r="M28" s="67"/>
      <c r="N28" s="67"/>
      <c r="O28" s="67"/>
      <c r="P28" s="67"/>
      <c r="Q28" s="67"/>
      <c r="R28" s="67"/>
      <c r="S28" s="67"/>
      <c r="T28" s="67"/>
      <c r="U28" s="67"/>
      <c r="V28" s="67"/>
      <c r="W28" s="67"/>
      <c r="X28" s="67"/>
      <c r="Y28" s="67"/>
      <c r="Z28" s="67"/>
    </row>
    <row r="29" ht="15.75" customHeight="1">
      <c r="A29" s="67"/>
      <c r="B29" s="67"/>
      <c r="C29" s="67"/>
      <c r="D29" s="67"/>
      <c r="E29" s="67"/>
      <c r="F29" s="67"/>
      <c r="G29" s="67"/>
      <c r="H29" s="67"/>
      <c r="I29" s="67"/>
      <c r="J29" s="67"/>
      <c r="K29" s="67"/>
      <c r="L29" s="67"/>
      <c r="M29" s="67"/>
      <c r="N29" s="67"/>
      <c r="O29" s="67"/>
      <c r="P29" s="67"/>
      <c r="Q29" s="67"/>
      <c r="R29" s="67"/>
      <c r="S29" s="67"/>
      <c r="T29" s="67"/>
      <c r="U29" s="67"/>
      <c r="V29" s="67"/>
      <c r="W29" s="67"/>
      <c r="X29" s="67"/>
      <c r="Y29" s="67"/>
      <c r="Z29" s="67"/>
    </row>
    <row r="30" ht="15.75" customHeight="1">
      <c r="A30" s="67"/>
      <c r="B30" s="67"/>
      <c r="C30" s="67"/>
      <c r="D30" s="67"/>
      <c r="E30" s="67"/>
      <c r="F30" s="67"/>
      <c r="G30" s="67"/>
      <c r="H30" s="67"/>
      <c r="I30" s="67"/>
      <c r="J30" s="67"/>
      <c r="K30" s="67"/>
      <c r="L30" s="67"/>
      <c r="M30" s="67"/>
      <c r="N30" s="67"/>
      <c r="O30" s="67"/>
      <c r="P30" s="67"/>
      <c r="Q30" s="67"/>
      <c r="R30" s="67"/>
      <c r="S30" s="67"/>
      <c r="T30" s="67"/>
      <c r="U30" s="67"/>
      <c r="V30" s="67"/>
      <c r="W30" s="67"/>
      <c r="X30" s="67"/>
      <c r="Y30" s="67"/>
      <c r="Z30" s="67"/>
    </row>
    <row r="31" ht="15.75" customHeight="1">
      <c r="A31" s="67"/>
      <c r="B31" s="67"/>
      <c r="C31" s="67"/>
      <c r="D31" s="67"/>
      <c r="E31" s="67"/>
      <c r="F31" s="67"/>
      <c r="G31" s="67"/>
      <c r="H31" s="67"/>
      <c r="I31" s="67"/>
      <c r="J31" s="67"/>
      <c r="K31" s="67"/>
      <c r="L31" s="67"/>
      <c r="M31" s="67"/>
      <c r="N31" s="67"/>
      <c r="O31" s="67"/>
      <c r="P31" s="67"/>
      <c r="Q31" s="67"/>
      <c r="R31" s="67"/>
      <c r="S31" s="67"/>
      <c r="T31" s="67"/>
      <c r="U31" s="67"/>
      <c r="V31" s="67"/>
      <c r="W31" s="67"/>
      <c r="X31" s="67"/>
      <c r="Y31" s="67"/>
      <c r="Z31" s="67"/>
    </row>
    <row r="32" ht="15.75" customHeight="1">
      <c r="A32" s="67"/>
      <c r="B32" s="67"/>
      <c r="C32" s="67"/>
      <c r="D32" s="67"/>
      <c r="E32" s="67"/>
      <c r="F32" s="67"/>
      <c r="G32" s="67"/>
      <c r="H32" s="67"/>
      <c r="I32" s="67"/>
      <c r="J32" s="67"/>
      <c r="K32" s="67"/>
      <c r="L32" s="67"/>
      <c r="M32" s="67"/>
      <c r="N32" s="67"/>
      <c r="O32" s="67"/>
      <c r="P32" s="67"/>
      <c r="Q32" s="67"/>
      <c r="R32" s="67"/>
      <c r="S32" s="67"/>
      <c r="T32" s="67"/>
      <c r="U32" s="67"/>
      <c r="V32" s="67"/>
      <c r="W32" s="67"/>
      <c r="X32" s="67"/>
      <c r="Y32" s="67"/>
      <c r="Z32" s="67"/>
    </row>
    <row r="33" ht="15.75" customHeight="1">
      <c r="A33" s="67"/>
      <c r="B33" s="67"/>
      <c r="C33" s="67"/>
      <c r="D33" s="67"/>
      <c r="E33" s="67"/>
      <c r="F33" s="67"/>
      <c r="G33" s="67"/>
      <c r="H33" s="67"/>
      <c r="I33" s="67"/>
      <c r="J33" s="67"/>
      <c r="K33" s="67"/>
      <c r="L33" s="67"/>
      <c r="M33" s="67"/>
      <c r="N33" s="67"/>
      <c r="O33" s="67"/>
      <c r="P33" s="67"/>
      <c r="Q33" s="67"/>
      <c r="R33" s="67"/>
      <c r="S33" s="67"/>
      <c r="T33" s="67"/>
      <c r="U33" s="67"/>
      <c r="V33" s="67"/>
      <c r="W33" s="67"/>
      <c r="X33" s="67"/>
      <c r="Y33" s="67"/>
      <c r="Z33" s="67"/>
    </row>
    <row r="34" ht="15.75" customHeight="1">
      <c r="A34" s="67"/>
      <c r="B34" s="67"/>
      <c r="C34" s="67"/>
      <c r="D34" s="67"/>
      <c r="E34" s="67"/>
      <c r="F34" s="67"/>
      <c r="G34" s="67"/>
      <c r="H34" s="67"/>
      <c r="I34" s="67"/>
      <c r="J34" s="67"/>
      <c r="K34" s="67"/>
      <c r="L34" s="67"/>
      <c r="M34" s="67"/>
      <c r="N34" s="67"/>
      <c r="O34" s="67"/>
      <c r="P34" s="67"/>
      <c r="Q34" s="67"/>
      <c r="R34" s="67"/>
      <c r="S34" s="67"/>
      <c r="T34" s="67"/>
      <c r="U34" s="67"/>
      <c r="V34" s="67"/>
      <c r="W34" s="67"/>
      <c r="X34" s="67"/>
      <c r="Y34" s="67"/>
      <c r="Z34" s="67"/>
    </row>
    <row r="35" ht="15.75" customHeight="1">
      <c r="A35" s="67"/>
      <c r="B35" s="67"/>
      <c r="C35" s="67"/>
      <c r="D35" s="67"/>
      <c r="E35" s="67"/>
      <c r="F35" s="67"/>
      <c r="G35" s="67"/>
      <c r="H35" s="67"/>
      <c r="I35" s="67"/>
      <c r="J35" s="67"/>
      <c r="K35" s="67"/>
      <c r="L35" s="67"/>
      <c r="M35" s="67"/>
      <c r="N35" s="67"/>
      <c r="O35" s="67"/>
      <c r="P35" s="67"/>
      <c r="Q35" s="67"/>
      <c r="R35" s="67"/>
      <c r="S35" s="67"/>
      <c r="T35" s="67"/>
      <c r="U35" s="67"/>
      <c r="V35" s="67"/>
      <c r="W35" s="67"/>
      <c r="X35" s="67"/>
      <c r="Y35" s="67"/>
      <c r="Z35" s="67"/>
    </row>
    <row r="36" ht="15.75" customHeight="1">
      <c r="A36" s="67"/>
      <c r="B36" s="67"/>
      <c r="C36" s="67"/>
      <c r="D36" s="67"/>
      <c r="E36" s="67"/>
      <c r="F36" s="67"/>
      <c r="G36" s="67"/>
      <c r="H36" s="67"/>
      <c r="I36" s="67"/>
      <c r="J36" s="67"/>
      <c r="K36" s="67"/>
      <c r="L36" s="67"/>
      <c r="M36" s="67"/>
      <c r="N36" s="67"/>
      <c r="O36" s="67"/>
      <c r="P36" s="67"/>
      <c r="Q36" s="67"/>
      <c r="R36" s="67"/>
      <c r="S36" s="67"/>
      <c r="T36" s="67"/>
      <c r="U36" s="67"/>
      <c r="V36" s="67"/>
      <c r="W36" s="67"/>
      <c r="X36" s="67"/>
      <c r="Y36" s="67"/>
      <c r="Z36" s="67"/>
    </row>
    <row r="37" ht="15.75" customHeight="1">
      <c r="A37" s="67"/>
      <c r="B37" s="67"/>
      <c r="C37" s="67"/>
      <c r="D37" s="67"/>
      <c r="E37" s="67"/>
      <c r="F37" s="67"/>
      <c r="G37" s="67"/>
      <c r="H37" s="67"/>
      <c r="I37" s="67"/>
      <c r="J37" s="67"/>
      <c r="K37" s="67"/>
      <c r="L37" s="67"/>
      <c r="M37" s="67"/>
      <c r="N37" s="67"/>
      <c r="O37" s="67"/>
      <c r="P37" s="67"/>
      <c r="Q37" s="67"/>
      <c r="R37" s="67"/>
      <c r="S37" s="67"/>
      <c r="T37" s="67"/>
      <c r="U37" s="67"/>
      <c r="V37" s="67"/>
      <c r="W37" s="67"/>
      <c r="X37" s="67"/>
      <c r="Y37" s="67"/>
      <c r="Z37" s="67"/>
    </row>
    <row r="38" ht="15.75" customHeight="1">
      <c r="A38" s="67"/>
      <c r="B38" s="67"/>
      <c r="C38" s="67"/>
      <c r="D38" s="67"/>
      <c r="E38" s="67"/>
      <c r="F38" s="67"/>
      <c r="G38" s="67"/>
      <c r="H38" s="67"/>
      <c r="I38" s="67"/>
      <c r="J38" s="67"/>
      <c r="K38" s="67"/>
      <c r="L38" s="67"/>
      <c r="M38" s="67"/>
      <c r="N38" s="67"/>
      <c r="O38" s="67"/>
      <c r="P38" s="67"/>
      <c r="Q38" s="67"/>
      <c r="R38" s="67"/>
      <c r="S38" s="67"/>
      <c r="T38" s="67"/>
      <c r="U38" s="67"/>
      <c r="V38" s="67"/>
      <c r="W38" s="67"/>
      <c r="X38" s="67"/>
      <c r="Y38" s="67"/>
      <c r="Z38" s="67"/>
    </row>
    <row r="39" ht="15.75" customHeight="1">
      <c r="A39" s="67"/>
      <c r="B39" s="67"/>
      <c r="C39" s="67"/>
      <c r="D39" s="67"/>
      <c r="E39" s="67"/>
      <c r="F39" s="67"/>
      <c r="G39" s="67"/>
      <c r="H39" s="67"/>
      <c r="I39" s="67"/>
      <c r="J39" s="67"/>
      <c r="K39" s="67"/>
      <c r="L39" s="67"/>
      <c r="M39" s="67"/>
      <c r="N39" s="67"/>
      <c r="O39" s="67"/>
      <c r="P39" s="67"/>
      <c r="Q39" s="67"/>
      <c r="R39" s="67"/>
      <c r="S39" s="67"/>
      <c r="T39" s="67"/>
      <c r="U39" s="67"/>
      <c r="V39" s="67"/>
      <c r="W39" s="67"/>
      <c r="X39" s="67"/>
      <c r="Y39" s="67"/>
      <c r="Z39" s="67"/>
    </row>
    <row r="40" ht="15.75" customHeight="1">
      <c r="A40" s="67"/>
      <c r="B40" s="67"/>
      <c r="C40" s="67"/>
      <c r="D40" s="67"/>
      <c r="E40" s="67"/>
      <c r="F40" s="67"/>
      <c r="G40" s="67"/>
      <c r="H40" s="67"/>
      <c r="I40" s="67"/>
      <c r="J40" s="67"/>
      <c r="K40" s="67"/>
      <c r="L40" s="67"/>
      <c r="M40" s="67"/>
      <c r="N40" s="67"/>
      <c r="O40" s="67"/>
      <c r="P40" s="67"/>
      <c r="Q40" s="67"/>
      <c r="R40" s="67"/>
      <c r="S40" s="67"/>
      <c r="T40" s="67"/>
      <c r="U40" s="67"/>
      <c r="V40" s="67"/>
      <c r="W40" s="67"/>
      <c r="X40" s="67"/>
      <c r="Y40" s="67"/>
      <c r="Z40" s="67"/>
    </row>
    <row r="41" ht="15.75" customHeight="1">
      <c r="A41" s="67"/>
      <c r="B41" s="67"/>
      <c r="C41" s="67"/>
      <c r="D41" s="67"/>
      <c r="E41" s="67"/>
      <c r="F41" s="67"/>
      <c r="G41" s="67"/>
      <c r="H41" s="67"/>
      <c r="I41" s="67"/>
      <c r="J41" s="67"/>
      <c r="K41" s="67"/>
      <c r="L41" s="67"/>
      <c r="M41" s="67"/>
      <c r="N41" s="67"/>
      <c r="O41" s="67"/>
      <c r="P41" s="67"/>
      <c r="Q41" s="67"/>
      <c r="R41" s="67"/>
      <c r="S41" s="67"/>
      <c r="T41" s="67"/>
      <c r="U41" s="67"/>
      <c r="V41" s="67"/>
      <c r="W41" s="67"/>
      <c r="X41" s="67"/>
      <c r="Y41" s="67"/>
      <c r="Z41" s="67"/>
    </row>
    <row r="42" ht="15.75" customHeight="1">
      <c r="A42" s="67"/>
      <c r="B42" s="67"/>
      <c r="C42" s="67"/>
      <c r="D42" s="67"/>
      <c r="E42" s="67"/>
      <c r="F42" s="67"/>
      <c r="G42" s="67"/>
      <c r="H42" s="67"/>
      <c r="I42" s="67"/>
      <c r="J42" s="67"/>
      <c r="K42" s="67"/>
      <c r="L42" s="67"/>
      <c r="M42" s="67"/>
      <c r="N42" s="67"/>
      <c r="O42" s="67"/>
      <c r="P42" s="67"/>
      <c r="Q42" s="67"/>
      <c r="R42" s="67"/>
      <c r="S42" s="67"/>
      <c r="T42" s="67"/>
      <c r="U42" s="67"/>
      <c r="V42" s="67"/>
      <c r="W42" s="67"/>
      <c r="X42" s="67"/>
      <c r="Y42" s="67"/>
      <c r="Z42" s="67"/>
    </row>
    <row r="43" ht="15.75" customHeight="1">
      <c r="A43" s="67"/>
      <c r="B43" s="67"/>
      <c r="C43" s="67"/>
      <c r="D43" s="67"/>
      <c r="E43" s="67"/>
      <c r="F43" s="67"/>
      <c r="G43" s="67"/>
      <c r="H43" s="67"/>
      <c r="I43" s="67"/>
      <c r="J43" s="67"/>
      <c r="K43" s="67"/>
      <c r="L43" s="67"/>
      <c r="M43" s="67"/>
      <c r="N43" s="67"/>
      <c r="O43" s="67"/>
      <c r="P43" s="67"/>
      <c r="Q43" s="67"/>
      <c r="R43" s="67"/>
      <c r="S43" s="67"/>
      <c r="T43" s="67"/>
      <c r="U43" s="67"/>
      <c r="V43" s="67"/>
      <c r="W43" s="67"/>
      <c r="X43" s="67"/>
      <c r="Y43" s="67"/>
      <c r="Z43" s="67"/>
    </row>
    <row r="44" ht="15.75" customHeight="1">
      <c r="A44" s="67"/>
      <c r="B44" s="67"/>
      <c r="C44" s="67"/>
      <c r="D44" s="67"/>
      <c r="E44" s="67"/>
      <c r="F44" s="67"/>
      <c r="G44" s="67"/>
      <c r="H44" s="67"/>
      <c r="I44" s="67"/>
      <c r="J44" s="67"/>
      <c r="K44" s="67"/>
      <c r="L44" s="67"/>
      <c r="M44" s="67"/>
      <c r="N44" s="67"/>
      <c r="O44" s="67"/>
      <c r="P44" s="67"/>
      <c r="Q44" s="67"/>
      <c r="R44" s="67"/>
      <c r="S44" s="67"/>
      <c r="T44" s="67"/>
      <c r="U44" s="67"/>
      <c r="V44" s="67"/>
      <c r="W44" s="67"/>
      <c r="X44" s="67"/>
      <c r="Y44" s="67"/>
      <c r="Z44" s="67"/>
    </row>
    <row r="45" ht="15.75" customHeight="1">
      <c r="A45" s="67"/>
      <c r="B45" s="67"/>
      <c r="C45" s="67"/>
      <c r="D45" s="67"/>
      <c r="E45" s="67"/>
      <c r="F45" s="67"/>
      <c r="G45" s="67"/>
      <c r="H45" s="67"/>
      <c r="I45" s="67"/>
      <c r="J45" s="67"/>
      <c r="K45" s="67"/>
      <c r="L45" s="67"/>
      <c r="M45" s="67"/>
      <c r="N45" s="67"/>
      <c r="O45" s="67"/>
      <c r="P45" s="67"/>
      <c r="Q45" s="67"/>
      <c r="R45" s="67"/>
      <c r="S45" s="67"/>
      <c r="T45" s="67"/>
      <c r="U45" s="67"/>
      <c r="V45" s="67"/>
      <c r="W45" s="67"/>
      <c r="X45" s="67"/>
      <c r="Y45" s="67"/>
      <c r="Z45" s="67"/>
    </row>
    <row r="46" ht="15.75" customHeight="1">
      <c r="A46" s="67"/>
      <c r="B46" s="67"/>
      <c r="C46" s="67"/>
      <c r="D46" s="67"/>
      <c r="E46" s="67"/>
      <c r="F46" s="67"/>
      <c r="G46" s="67"/>
      <c r="H46" s="67"/>
      <c r="I46" s="67"/>
      <c r="J46" s="67"/>
      <c r="K46" s="67"/>
      <c r="L46" s="67"/>
      <c r="M46" s="67"/>
      <c r="N46" s="67"/>
      <c r="O46" s="67"/>
      <c r="P46" s="67"/>
      <c r="Q46" s="67"/>
      <c r="R46" s="67"/>
      <c r="S46" s="67"/>
      <c r="T46" s="67"/>
      <c r="U46" s="67"/>
      <c r="V46" s="67"/>
      <c r="W46" s="67"/>
      <c r="X46" s="67"/>
      <c r="Y46" s="67"/>
      <c r="Z46" s="67"/>
    </row>
    <row r="47" ht="15.75" customHeight="1">
      <c r="A47" s="67"/>
      <c r="B47" s="67"/>
      <c r="C47" s="67"/>
      <c r="D47" s="67"/>
      <c r="E47" s="67"/>
      <c r="F47" s="67"/>
      <c r="G47" s="67"/>
      <c r="H47" s="67"/>
      <c r="I47" s="67"/>
      <c r="J47" s="67"/>
      <c r="K47" s="67"/>
      <c r="L47" s="67"/>
      <c r="M47" s="67"/>
      <c r="N47" s="67"/>
      <c r="O47" s="67"/>
      <c r="P47" s="67"/>
      <c r="Q47" s="67"/>
      <c r="R47" s="67"/>
      <c r="S47" s="67"/>
      <c r="T47" s="67"/>
      <c r="U47" s="67"/>
      <c r="V47" s="67"/>
      <c r="W47" s="67"/>
      <c r="X47" s="67"/>
      <c r="Y47" s="67"/>
      <c r="Z47" s="67"/>
    </row>
    <row r="48" ht="15.75" customHeight="1">
      <c r="A48" s="67"/>
      <c r="B48" s="67"/>
      <c r="C48" s="67"/>
      <c r="D48" s="67"/>
      <c r="E48" s="67"/>
      <c r="F48" s="67"/>
      <c r="G48" s="67"/>
      <c r="H48" s="67"/>
      <c r="I48" s="67"/>
      <c r="J48" s="67"/>
      <c r="K48" s="67"/>
      <c r="L48" s="67"/>
      <c r="M48" s="67"/>
      <c r="N48" s="67"/>
      <c r="O48" s="67"/>
      <c r="P48" s="67"/>
      <c r="Q48" s="67"/>
      <c r="R48" s="67"/>
      <c r="S48" s="67"/>
      <c r="T48" s="67"/>
      <c r="U48" s="67"/>
      <c r="V48" s="67"/>
      <c r="W48" s="67"/>
      <c r="X48" s="67"/>
      <c r="Y48" s="67"/>
      <c r="Z48" s="67"/>
    </row>
    <row r="49" ht="15.75" customHeight="1">
      <c r="A49" s="67"/>
      <c r="B49" s="67"/>
      <c r="C49" s="67"/>
      <c r="D49" s="67"/>
      <c r="E49" s="67"/>
      <c r="F49" s="67"/>
      <c r="G49" s="67"/>
      <c r="H49" s="67"/>
      <c r="I49" s="67"/>
      <c r="J49" s="67"/>
      <c r="K49" s="67"/>
      <c r="L49" s="67"/>
      <c r="M49" s="67"/>
      <c r="N49" s="67"/>
      <c r="O49" s="67"/>
      <c r="P49" s="67"/>
      <c r="Q49" s="67"/>
      <c r="R49" s="67"/>
      <c r="S49" s="67"/>
      <c r="T49" s="67"/>
      <c r="U49" s="67"/>
      <c r="V49" s="67"/>
      <c r="W49" s="67"/>
      <c r="X49" s="67"/>
      <c r="Y49" s="67"/>
      <c r="Z49" s="67"/>
    </row>
    <row r="50" ht="15.75" customHeight="1">
      <c r="A50" s="67"/>
      <c r="B50" s="67"/>
      <c r="C50" s="67"/>
      <c r="D50" s="67"/>
      <c r="E50" s="67"/>
      <c r="F50" s="67"/>
      <c r="G50" s="67"/>
      <c r="H50" s="67"/>
      <c r="I50" s="67"/>
      <c r="J50" s="67"/>
      <c r="K50" s="67"/>
      <c r="L50" s="67"/>
      <c r="M50" s="67"/>
      <c r="N50" s="67"/>
      <c r="O50" s="67"/>
      <c r="P50" s="67"/>
      <c r="Q50" s="67"/>
      <c r="R50" s="67"/>
      <c r="S50" s="67"/>
      <c r="T50" s="67"/>
      <c r="U50" s="67"/>
      <c r="V50" s="67"/>
      <c r="W50" s="67"/>
      <c r="X50" s="67"/>
      <c r="Y50" s="67"/>
      <c r="Z50" s="67"/>
    </row>
    <row r="51" ht="15.75" customHeight="1">
      <c r="A51" s="67"/>
      <c r="B51" s="67"/>
      <c r="C51" s="67"/>
      <c r="D51" s="67"/>
      <c r="E51" s="67"/>
      <c r="F51" s="67"/>
      <c r="G51" s="67"/>
      <c r="H51" s="67"/>
      <c r="I51" s="67"/>
      <c r="J51" s="67"/>
      <c r="K51" s="67"/>
      <c r="L51" s="67"/>
      <c r="M51" s="67"/>
      <c r="N51" s="67"/>
      <c r="O51" s="67"/>
      <c r="P51" s="67"/>
      <c r="Q51" s="67"/>
      <c r="R51" s="67"/>
      <c r="S51" s="67"/>
      <c r="T51" s="67"/>
      <c r="U51" s="67"/>
      <c r="V51" s="67"/>
      <c r="W51" s="67"/>
      <c r="X51" s="67"/>
      <c r="Y51" s="67"/>
      <c r="Z51" s="67"/>
    </row>
    <row r="52" ht="15.75" customHeight="1">
      <c r="A52" s="67"/>
      <c r="B52" s="67"/>
      <c r="C52" s="67"/>
      <c r="D52" s="67"/>
      <c r="E52" s="67"/>
      <c r="F52" s="67"/>
      <c r="G52" s="67"/>
      <c r="H52" s="67"/>
      <c r="I52" s="67"/>
      <c r="J52" s="67"/>
      <c r="K52" s="67"/>
      <c r="L52" s="67"/>
      <c r="M52" s="67"/>
      <c r="N52" s="67"/>
      <c r="O52" s="67"/>
      <c r="P52" s="67"/>
      <c r="Q52" s="67"/>
      <c r="R52" s="67"/>
      <c r="S52" s="67"/>
      <c r="T52" s="67"/>
      <c r="U52" s="67"/>
      <c r="V52" s="67"/>
      <c r="W52" s="67"/>
      <c r="X52" s="67"/>
      <c r="Y52" s="67"/>
      <c r="Z52" s="67"/>
    </row>
    <row r="53" ht="15.75" customHeight="1">
      <c r="A53" s="67"/>
      <c r="B53" s="67"/>
      <c r="C53" s="67"/>
      <c r="D53" s="67"/>
      <c r="E53" s="67"/>
      <c r="F53" s="67"/>
      <c r="G53" s="67"/>
      <c r="H53" s="67"/>
      <c r="I53" s="67"/>
      <c r="J53" s="67"/>
      <c r="K53" s="67"/>
      <c r="L53" s="67"/>
      <c r="M53" s="67"/>
      <c r="N53" s="67"/>
      <c r="O53" s="67"/>
      <c r="P53" s="67"/>
      <c r="Q53" s="67"/>
      <c r="R53" s="67"/>
      <c r="S53" s="67"/>
      <c r="T53" s="67"/>
      <c r="U53" s="67"/>
      <c r="V53" s="67"/>
      <c r="W53" s="67"/>
      <c r="X53" s="67"/>
      <c r="Y53" s="67"/>
      <c r="Z53" s="67"/>
    </row>
    <row r="54" ht="15.75" customHeight="1">
      <c r="A54" s="67"/>
      <c r="B54" s="67"/>
      <c r="C54" s="67"/>
      <c r="D54" s="67"/>
      <c r="E54" s="67"/>
      <c r="F54" s="67"/>
      <c r="G54" s="67"/>
      <c r="H54" s="67"/>
      <c r="I54" s="67"/>
      <c r="J54" s="67"/>
      <c r="K54" s="67"/>
      <c r="L54" s="67"/>
      <c r="M54" s="67"/>
      <c r="N54" s="67"/>
      <c r="O54" s="67"/>
      <c r="P54" s="67"/>
      <c r="Q54" s="67"/>
      <c r="R54" s="67"/>
      <c r="S54" s="67"/>
      <c r="T54" s="67"/>
      <c r="U54" s="67"/>
      <c r="V54" s="67"/>
      <c r="W54" s="67"/>
      <c r="X54" s="67"/>
      <c r="Y54" s="67"/>
      <c r="Z54" s="67"/>
    </row>
    <row r="55" ht="15.75" customHeight="1">
      <c r="A55" s="67"/>
      <c r="B55" s="67"/>
      <c r="C55" s="67"/>
      <c r="D55" s="67"/>
      <c r="E55" s="67"/>
      <c r="F55" s="67"/>
      <c r="G55" s="67"/>
      <c r="H55" s="67"/>
      <c r="I55" s="67"/>
      <c r="J55" s="67"/>
      <c r="K55" s="67"/>
      <c r="L55" s="67"/>
      <c r="M55" s="67"/>
      <c r="N55" s="67"/>
      <c r="O55" s="67"/>
      <c r="P55" s="67"/>
      <c r="Q55" s="67"/>
      <c r="R55" s="67"/>
      <c r="S55" s="67"/>
      <c r="T55" s="67"/>
      <c r="U55" s="67"/>
      <c r="V55" s="67"/>
      <c r="W55" s="67"/>
      <c r="X55" s="67"/>
      <c r="Y55" s="67"/>
      <c r="Z55" s="67"/>
    </row>
    <row r="56" ht="15.75" customHeight="1">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ht="15.75" customHeight="1">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ht="15.75" customHeight="1">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ht="15.75" customHeight="1">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ht="15.75" customHeight="1">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ht="15.75" customHeight="1">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ht="15.75" customHeight="1">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ht="15.75" customHeight="1">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ht="15.75" customHeight="1">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ht="15.75" customHeight="1">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ht="15.75" customHeight="1">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ht="15.75" customHeight="1">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ht="15.75" customHeight="1">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ht="15.75" customHeight="1">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ht="15.75" customHeight="1">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ht="15.75" customHeight="1">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ht="15.75" customHeight="1">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ht="15.75" customHeight="1">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ht="15.75" customHeight="1">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ht="15.75" customHeight="1">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ht="15.75" customHeight="1">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ht="15.75" customHeight="1">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ht="15.75" customHeight="1">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ht="15.75" customHeight="1">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ht="15.75" customHeight="1">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ht="15.75" customHeight="1">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ht="15.75" customHeight="1">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ht="15.75" customHeight="1">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ht="15.75" customHeight="1">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ht="15.75" customHeight="1">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ht="15.75" customHeight="1">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ht="15.75" customHeight="1">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ht="15.75" customHeight="1">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ht="15.75" customHeight="1">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ht="15.75" customHeight="1">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ht="15.75" customHeight="1">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ht="15.75" customHeight="1">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ht="15.75" customHeight="1">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ht="15.75" customHeight="1">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ht="15.75" customHeight="1">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ht="15.75" customHeight="1">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ht="15.75" customHeight="1">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ht="15.75" customHeight="1">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ht="15.75" customHeight="1">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ht="15.75" customHeight="1">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ht="15.75" customHeight="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ht="15.75" customHeight="1">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ht="15.75" customHeight="1">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ht="15.75" customHeight="1">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ht="15.75" customHeight="1">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ht="15.75" customHeight="1">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ht="15.75" customHeight="1">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ht="15.75" customHeight="1">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ht="15.75" customHeight="1">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ht="15.75" customHeight="1">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ht="15.75" customHeight="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ht="15.75" customHeight="1">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ht="15.75" customHeight="1">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ht="15.75" customHeight="1">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ht="15.75" customHeight="1">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ht="15.75" customHeight="1">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ht="15.75" customHeight="1">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ht="15.75" customHeight="1">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ht="15.75" customHeight="1">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ht="15.75" customHeight="1">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ht="15.75" customHeight="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ht="15.75" customHeight="1">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ht="15.75" customHeight="1">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ht="15.75" customHeight="1">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ht="15.75" customHeight="1">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ht="15.75" customHeight="1">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ht="15.75" customHeight="1">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ht="15.75" customHeight="1">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ht="15.75" customHeight="1">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ht="15.75" customHeight="1">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ht="15.75" customHeight="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ht="15.75" customHeight="1">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ht="15.75" customHeight="1">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ht="15.75" customHeight="1">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ht="15.75" customHeight="1">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ht="15.75" customHeight="1">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ht="15.75" customHeight="1">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ht="15.75" customHeight="1">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ht="15.75" customHeight="1">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ht="15.75" customHeight="1">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ht="15.75" customHeight="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ht="15.75" customHeight="1">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ht="15.75" customHeight="1">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ht="15.75" customHeight="1">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ht="15.75" customHeight="1">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ht="15.75" customHeight="1">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ht="15.75" customHeight="1">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ht="15.75" customHeight="1">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ht="15.75" customHeight="1">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ht="15.75" customHeight="1">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ht="15.75" customHeight="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ht="15.75" customHeight="1">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ht="15.75" customHeight="1">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ht="15.75" customHeight="1">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ht="15.75" customHeight="1">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ht="15.75" customHeight="1">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ht="15.75" customHeight="1">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ht="15.75" customHeight="1">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ht="15.75" customHeight="1">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ht="15.75" customHeight="1">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ht="15.75" customHeight="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ht="15.75" customHeight="1">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ht="15.75" customHeight="1">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ht="15.75" customHeight="1">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ht="15.75" customHeight="1">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ht="15.75" customHeight="1">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ht="15.75" customHeight="1">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ht="15.75" customHeight="1">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ht="15.75" customHeight="1">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ht="15.75" customHeight="1">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ht="15.75" customHeight="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ht="15.75" customHeight="1">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ht="15.75" customHeight="1">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ht="15.75" customHeight="1">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ht="15.75" customHeight="1">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ht="15.75" customHeight="1">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ht="15.75" customHeight="1">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ht="15.75" customHeight="1">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ht="15.75" customHeight="1">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ht="15.75" customHeight="1">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ht="15.75" customHeight="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ht="15.75" customHeight="1">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ht="15.75" customHeight="1">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ht="15.75" customHeight="1">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ht="15.75" customHeight="1">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ht="15.75" customHeight="1">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ht="15.75" customHeight="1">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ht="15.75" customHeight="1">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ht="15.75" customHeight="1">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ht="15.75" customHeight="1">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ht="15.75" customHeight="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ht="15.75" customHeight="1">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ht="15.75" customHeight="1">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ht="15.75" customHeight="1">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ht="15.75" customHeight="1">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ht="15.75" customHeight="1">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ht="15.75" customHeight="1">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ht="15.75" customHeight="1">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ht="15.75" customHeight="1">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ht="15.75" customHeight="1">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ht="15.75" customHeight="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ht="15.75" customHeight="1">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ht="15.75" customHeight="1">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ht="15.75" customHeight="1">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ht="15.75" customHeight="1">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ht="15.75" customHeight="1">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ht="15.75" customHeight="1">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ht="15.75" customHeight="1">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ht="15.75" customHeight="1">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ht="15.75" customHeight="1">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ht="15.75" customHeight="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ht="15.75" customHeight="1">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ht="15.75" customHeight="1">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ht="15.75" customHeight="1">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ht="15.75" customHeight="1">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ht="15.75" customHeight="1">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ht="15.75" customHeight="1">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ht="15.75" customHeight="1">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ht="15.75" customHeight="1">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ht="15.75" customHeight="1">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ht="15.75" customHeight="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ht="15.75" customHeight="1">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ht="15.75" customHeight="1">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ht="15.75" customHeight="1">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ht="15.75" customHeight="1">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ht="15.75" customHeight="1">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ht="15.75" customHeight="1">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ht="15.75" customHeight="1">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ht="15.75" customHeight="1">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ht="15.75" customHeight="1">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ht="15.75" customHeight="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ht="15.75" customHeight="1">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ht="15.75" customHeight="1">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ht="15.75" customHeight="1">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ht="15.75" customHeight="1">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ht="15.75" customHeight="1">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ht="15.75" customHeight="1">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ht="15.75" customHeight="1">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ht="15.75" customHeight="1">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ht="15.75" customHeight="1">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ht="15.75" customHeight="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ht="15.75" customHeight="1">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ht="15.75" customHeight="1">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ht="15.75" customHeight="1">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ht="15.75" customHeight="1">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ht="15.75" customHeight="1">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ht="15.75" customHeight="1">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ht="15.75" customHeight="1">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ht="15.75" customHeight="1">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ht="15.75" customHeight="1">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ht="15.75" customHeight="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ht="15.75" customHeight="1">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ht="15.75" customHeight="1">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ht="15.75" customHeight="1">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ht="15.75" customHeight="1">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ht="15.75" customHeight="1">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ht="15.75" customHeight="1">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ht="15.75" customHeight="1">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ht="15.75" customHeight="1">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ht="15.75" customHeight="1">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ht="15.75" customHeight="1">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ht="15.75" customHeight="1">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ht="15.75" customHeight="1">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ht="15.75" customHeight="1">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ht="15.75" customHeight="1">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ht="15.75" customHeight="1">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ht="15.75" customHeight="1">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ht="15.75" customHeight="1">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ht="15.75" customHeight="1">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ht="15.75" customHeight="1">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ht="15.75" customHeight="1">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ht="15.75" customHeight="1">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ht="15.75" customHeight="1">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ht="15.75" customHeight="1">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ht="15.75" customHeight="1">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ht="15.75" customHeight="1">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ht="15.75" customHeight="1">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ht="15.75" customHeight="1">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ht="15.75" customHeight="1">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ht="15.75" customHeight="1">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ht="15.75" customHeight="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ht="15.75" customHeight="1">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ht="15.75" customHeight="1">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ht="15.75" customHeight="1">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ht="15.75" customHeight="1">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ht="15.75" customHeight="1">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ht="15.75" customHeight="1">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ht="15.75" customHeight="1">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ht="15.75" customHeight="1">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ht="15.75" customHeight="1">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ht="15.75" customHeight="1">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ht="15.75" customHeight="1">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ht="15.75" customHeight="1">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ht="15.75" customHeight="1">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ht="15.75" customHeight="1">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ht="15.75" customHeight="1">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ht="15.75" customHeight="1">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ht="15.75" customHeight="1">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ht="15.75" customHeight="1">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ht="15.75" customHeight="1">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ht="15.75" customHeight="1">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ht="15.75" customHeight="1">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ht="15.75" customHeight="1">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ht="15.75" customHeight="1">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ht="15.75" customHeight="1">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ht="15.75" customHeight="1">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ht="15.75" customHeight="1">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ht="15.75" customHeight="1">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ht="15.75" customHeight="1">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ht="15.75" customHeight="1">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ht="15.75" customHeight="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ht="15.75" customHeight="1">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ht="15.75" customHeight="1">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ht="15.75" customHeight="1">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ht="15.75" customHeight="1">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ht="15.75" customHeight="1">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ht="15.75" customHeight="1">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ht="15.75" customHeight="1">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ht="15.75" customHeight="1">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ht="15.75" customHeight="1">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ht="15.75" customHeight="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ht="15.75" customHeight="1">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ht="15.75" customHeight="1">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ht="15.75" customHeight="1">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ht="15.75" customHeight="1">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ht="15.75" customHeight="1">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ht="15.75" customHeight="1">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ht="15.75" customHeight="1">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ht="15.75" customHeight="1">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ht="15.75" customHeight="1">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ht="15.75" customHeight="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ht="15.75" customHeight="1">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ht="15.75" customHeight="1">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ht="15.75" customHeight="1">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ht="15.75" customHeight="1">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ht="15.75" customHeight="1">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ht="15.75" customHeight="1">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ht="15.75" customHeight="1">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ht="15.75" customHeight="1">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ht="15.75" customHeight="1">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ht="15.75" customHeight="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ht="15.75" customHeight="1">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ht="15.75" customHeight="1">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ht="15.75" customHeight="1">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ht="15.75" customHeight="1">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ht="15.75" customHeight="1">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ht="15.75" customHeight="1">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ht="15.75" customHeight="1">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ht="15.75" customHeight="1">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ht="15.75" customHeight="1">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ht="15.75" customHeight="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ht="15.75" customHeight="1">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ht="15.75" customHeight="1">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ht="15.75" customHeight="1">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ht="15.75" customHeight="1">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ht="15.75" customHeight="1">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ht="15.75" customHeight="1">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ht="15.75" customHeight="1">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ht="15.75" customHeight="1">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ht="15.75" customHeight="1">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ht="15.75" customHeight="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ht="15.75" customHeight="1">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ht="15.75" customHeight="1">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ht="15.75" customHeight="1">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ht="15.75" customHeight="1">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ht="15.75" customHeight="1">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ht="15.75" customHeight="1">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ht="15.75" customHeight="1">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ht="15.75" customHeight="1">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ht="15.75" customHeight="1">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ht="15.75" customHeight="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ht="15.75" customHeight="1">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ht="15.75" customHeight="1">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ht="15.75" customHeight="1">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ht="15.75" customHeight="1">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ht="15.75" customHeight="1">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ht="15.75" customHeight="1">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ht="15.75" customHeight="1">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ht="15.75" customHeight="1">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ht="15.75" customHeight="1">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ht="15.75" customHeight="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ht="15.75" customHeight="1">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ht="15.75" customHeight="1">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ht="15.75" customHeight="1">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ht="15.75" customHeight="1">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ht="15.75" customHeight="1">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ht="15.75" customHeight="1">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ht="15.75" customHeight="1">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ht="15.75" customHeight="1">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ht="15.75" customHeight="1">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ht="15.75" customHeight="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ht="15.75" customHeight="1">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ht="15.75" customHeight="1">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ht="15.75" customHeight="1">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ht="15.75" customHeight="1">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ht="15.75" customHeight="1">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ht="15.75" customHeight="1">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ht="15.75" customHeight="1">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ht="15.75" customHeight="1">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ht="15.75" customHeight="1">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ht="15.75" customHeight="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ht="15.75" customHeight="1">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ht="15.75" customHeight="1">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ht="15.75" customHeight="1">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ht="15.75" customHeight="1">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ht="15.75" customHeight="1">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ht="15.75" customHeight="1">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ht="15.75" customHeight="1">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ht="15.75" customHeight="1">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ht="15.75" customHeight="1">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ht="15.75" customHeight="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ht="15.75" customHeight="1">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ht="15.75" customHeight="1">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ht="15.75" customHeight="1">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ht="15.75" customHeight="1">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ht="15.75" customHeight="1">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ht="15.75" customHeight="1">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ht="15.75" customHeight="1">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ht="15.75" customHeight="1">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ht="15.75" customHeight="1">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ht="15.75" customHeight="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ht="15.75" customHeight="1">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ht="15.75" customHeight="1">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ht="15.75" customHeight="1">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ht="15.75" customHeight="1">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ht="15.75" customHeight="1">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ht="15.75" customHeight="1">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ht="15.75" customHeight="1">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ht="15.75" customHeight="1">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ht="15.75" customHeight="1">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ht="15.75" customHeight="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ht="15.75" customHeight="1">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ht="15.75" customHeight="1">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ht="15.75" customHeight="1">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ht="15.75" customHeight="1">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ht="15.75" customHeight="1">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ht="15.75" customHeight="1">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ht="15.75" customHeight="1">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ht="15.75" customHeight="1">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ht="15.75" customHeight="1">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ht="15.75" customHeight="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ht="15.75" customHeight="1">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ht="15.75" customHeight="1">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ht="15.75" customHeight="1">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ht="15.75" customHeight="1">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ht="15.75" customHeight="1">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ht="15.75" customHeight="1">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ht="15.75" customHeight="1">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ht="15.75" customHeight="1">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ht="15.75" customHeight="1">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ht="15.75" customHeight="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ht="15.75" customHeight="1">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ht="15.75" customHeight="1">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ht="15.75" customHeight="1">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ht="15.75" customHeight="1">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ht="15.75" customHeight="1">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ht="15.75" customHeight="1">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ht="15.75" customHeight="1">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ht="15.75" customHeight="1">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ht="15.75" customHeight="1">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ht="15.75" customHeight="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ht="15.75" customHeight="1">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ht="15.75" customHeight="1">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ht="15.75" customHeight="1">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ht="15.75" customHeight="1">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ht="15.75" customHeight="1">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ht="15.75" customHeight="1">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ht="15.75" customHeight="1">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ht="15.75" customHeight="1">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ht="15.75" customHeight="1">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ht="15.75" customHeight="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ht="15.75" customHeight="1">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ht="15.75" customHeight="1">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ht="15.75" customHeight="1">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ht="15.75" customHeight="1">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ht="15.75" customHeight="1">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ht="15.75" customHeight="1">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ht="15.75" customHeight="1">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ht="15.75" customHeight="1">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ht="15.75" customHeight="1">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ht="15.75" customHeight="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ht="15.75" customHeight="1">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ht="15.75" customHeight="1">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ht="15.75" customHeight="1">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ht="15.75" customHeight="1">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ht="15.75" customHeight="1">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ht="15.75" customHeight="1">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ht="15.75" customHeight="1">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ht="15.75" customHeight="1">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ht="15.75" customHeight="1">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ht="15.75" customHeight="1">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ht="15.75" customHeight="1">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ht="15.75" customHeight="1">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ht="15.75" customHeight="1">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ht="15.75" customHeight="1">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ht="15.75" customHeight="1">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ht="15.75" customHeight="1">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ht="15.75" customHeight="1">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ht="15.75" customHeight="1">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ht="15.75" customHeight="1">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ht="15.75" customHeight="1">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ht="15.75" customHeight="1">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ht="15.75" customHeight="1">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ht="15.75" customHeight="1">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ht="15.75" customHeight="1">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ht="15.75" customHeight="1">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ht="15.75" customHeight="1">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ht="15.75" customHeight="1">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ht="15.75" customHeight="1">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ht="15.75" customHeight="1">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ht="15.75" customHeight="1">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ht="15.75" customHeight="1">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ht="15.75" customHeight="1">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ht="15.75" customHeight="1">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ht="15.75" customHeight="1">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ht="15.75" customHeight="1">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ht="15.75" customHeight="1">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ht="15.75" customHeight="1">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ht="15.75" customHeight="1">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ht="15.75" customHeight="1">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ht="15.75" customHeight="1">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ht="15.75" customHeight="1">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ht="15.75" customHeight="1">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ht="15.75" customHeight="1">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ht="15.75" customHeight="1">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ht="15.75" customHeight="1">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ht="15.75" customHeight="1">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ht="15.75" customHeight="1">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ht="15.75" customHeight="1">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ht="15.75" customHeight="1">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ht="15.75" customHeight="1">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ht="15.75" customHeight="1">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ht="15.75" customHeight="1">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ht="15.75" customHeight="1">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ht="15.75" customHeight="1">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ht="15.75" customHeight="1">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ht="15.75" customHeight="1">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ht="15.75" customHeight="1">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ht="15.75" customHeight="1">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ht="15.75" customHeight="1">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ht="15.75" customHeight="1">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ht="15.75" customHeight="1">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ht="15.75" customHeight="1">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ht="15.75" customHeight="1">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ht="15.75" customHeight="1">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ht="15.75" customHeight="1">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ht="15.75" customHeight="1">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ht="15.75" customHeight="1">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ht="15.75" customHeight="1">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ht="15.75" customHeight="1">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ht="15.75" customHeight="1">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ht="15.75" customHeight="1">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ht="15.75" customHeight="1">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ht="15.75" customHeight="1">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ht="15.75" customHeight="1">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ht="15.75" customHeight="1">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ht="15.75" customHeight="1">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ht="15.75" customHeight="1">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ht="15.75" customHeight="1">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ht="15.75" customHeight="1">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ht="15.75" customHeight="1">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ht="15.75" customHeight="1">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ht="15.75" customHeight="1">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ht="15.75" customHeight="1">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ht="15.75" customHeight="1">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ht="15.75" customHeight="1">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ht="15.75" customHeight="1">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ht="15.75" customHeight="1">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ht="15.75" customHeight="1">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ht="15.75" customHeight="1">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ht="15.75" customHeight="1">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ht="15.75" customHeight="1">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ht="15.75" customHeight="1">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ht="15.75" customHeight="1">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ht="15.75" customHeight="1">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ht="15.75" customHeight="1">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ht="15.75" customHeight="1">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ht="15.75" customHeight="1">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ht="15.75" customHeight="1">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ht="15.75" customHeight="1">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ht="15.75" customHeight="1">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ht="15.75" customHeight="1">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ht="15.75" customHeight="1">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ht="15.75" customHeight="1">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ht="15.75" customHeight="1">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ht="15.75" customHeight="1">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ht="15.75" customHeight="1">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ht="15.75" customHeight="1">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ht="15.75" customHeight="1">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ht="15.75" customHeight="1">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ht="15.75" customHeight="1">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ht="15.75" customHeight="1">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ht="15.75" customHeight="1">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ht="15.75" customHeight="1">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ht="15.75" customHeight="1">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ht="15.75" customHeight="1">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ht="15.75" customHeight="1">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ht="15.75" customHeight="1">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ht="15.75" customHeight="1">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ht="15.75" customHeight="1">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ht="15.75" customHeight="1">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ht="15.75" customHeight="1">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ht="15.75" customHeight="1">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ht="15.75" customHeight="1">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ht="15.75" customHeight="1">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ht="15.75" customHeight="1">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ht="15.75" customHeight="1">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ht="15.75" customHeight="1">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ht="15.75" customHeight="1">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ht="15.75" customHeight="1">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ht="15.75" customHeight="1">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ht="15.75" customHeight="1">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ht="15.75" customHeight="1">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ht="15.75" customHeight="1">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ht="15.75" customHeight="1">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ht="15.75" customHeight="1">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ht="15.75" customHeight="1">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ht="15.75" customHeight="1">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ht="15.75" customHeight="1">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ht="15.75" customHeight="1">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ht="15.75" customHeight="1">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ht="15.75" customHeight="1">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ht="15.75" customHeight="1">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ht="15.75" customHeight="1">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ht="15.75" customHeight="1">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ht="15.75" customHeight="1">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ht="15.75" customHeight="1">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ht="15.75" customHeight="1">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ht="15.75" customHeight="1">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ht="15.75" customHeight="1">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ht="15.75" customHeight="1">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ht="15.75" customHeight="1">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ht="15.75" customHeight="1">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ht="15.75" customHeight="1">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ht="15.75" customHeight="1">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ht="15.75" customHeight="1">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ht="15.75" customHeight="1">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ht="15.75" customHeight="1">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ht="15.75" customHeight="1">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ht="15.75" customHeight="1">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ht="15.75" customHeight="1">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ht="15.75" customHeight="1">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ht="15.75" customHeight="1">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ht="15.75" customHeight="1">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ht="15.75" customHeight="1">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ht="15.75" customHeight="1">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ht="15.75" customHeight="1">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ht="15.75" customHeight="1">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ht="15.75" customHeight="1">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ht="15.75" customHeight="1">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ht="15.75" customHeight="1">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ht="15.75" customHeight="1">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ht="15.75" customHeight="1">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ht="15.75" customHeight="1">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ht="15.75" customHeight="1">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ht="15.75" customHeight="1">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ht="15.75" customHeight="1">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ht="15.75" customHeight="1">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ht="15.75" customHeight="1">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ht="15.75" customHeight="1">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ht="15.75" customHeight="1">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ht="15.75" customHeight="1">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ht="15.75" customHeight="1">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ht="15.75" customHeight="1">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ht="15.75" customHeight="1">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ht="15.75" customHeight="1">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ht="15.75" customHeight="1">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ht="15.75" customHeight="1">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ht="15.75" customHeight="1">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ht="15.75" customHeight="1">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ht="15.75" customHeight="1">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ht="15.75" customHeight="1">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ht="15.75" customHeight="1">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ht="15.75" customHeight="1">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ht="15.75" customHeight="1">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ht="15.75" customHeight="1">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ht="15.75" customHeight="1">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ht="15.75" customHeight="1">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ht="15.75" customHeight="1">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ht="15.75" customHeight="1">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ht="15.75" customHeight="1">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ht="15.75" customHeight="1">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ht="15.75" customHeight="1">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ht="15.75" customHeight="1">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ht="15.75" customHeight="1">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ht="15.75" customHeight="1">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ht="15.75" customHeight="1">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ht="15.75" customHeight="1">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ht="15.75" customHeight="1">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ht="15.75" customHeight="1">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ht="15.75" customHeight="1">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ht="15.75" customHeight="1">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ht="15.75" customHeight="1">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ht="15.75" customHeight="1">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ht="15.75" customHeight="1">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ht="15.75" customHeight="1">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ht="15.75" customHeight="1">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ht="15.75" customHeight="1">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ht="15.75" customHeight="1">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ht="15.75" customHeight="1">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ht="15.75" customHeight="1">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ht="15.75" customHeight="1">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ht="15.75" customHeight="1">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ht="15.75" customHeight="1">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ht="15.75" customHeight="1">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ht="15.75" customHeight="1">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ht="15.75" customHeight="1">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ht="15.75" customHeight="1">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ht="15.75" customHeight="1">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ht="15.75" customHeight="1">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ht="15.75" customHeight="1">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ht="15.75" customHeight="1">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ht="15.75" customHeight="1">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ht="15.75" customHeight="1">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ht="15.75" customHeight="1">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ht="15.75" customHeight="1">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ht="15.75" customHeight="1">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ht="15.75" customHeight="1">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ht="15.75" customHeight="1">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ht="15.75" customHeight="1">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ht="15.75" customHeight="1">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ht="15.75" customHeight="1">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ht="15.75" customHeight="1">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ht="15.75" customHeight="1">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ht="15.75" customHeight="1">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ht="15.75" customHeight="1">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ht="15.75" customHeight="1">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ht="15.75" customHeight="1">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ht="15.75" customHeight="1">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ht="15.75" customHeight="1">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ht="15.75" customHeight="1">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ht="15.75" customHeight="1">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ht="15.75" customHeight="1">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ht="15.75" customHeight="1">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ht="15.75" customHeight="1">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ht="15.75" customHeight="1">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ht="15.75" customHeight="1">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ht="15.75" customHeight="1">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ht="15.75" customHeight="1">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ht="15.75" customHeight="1">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ht="15.75" customHeight="1">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ht="15.75" customHeight="1">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ht="15.75" customHeight="1">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ht="15.75" customHeight="1">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ht="15.75" customHeight="1">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ht="15.75" customHeight="1">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ht="15.75" customHeight="1">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ht="15.75" customHeight="1">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ht="15.75" customHeight="1">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ht="15.75" customHeight="1">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ht="15.75" customHeight="1">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ht="15.75" customHeight="1">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ht="15.75" customHeight="1">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ht="15.75" customHeight="1">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ht="15.75" customHeight="1">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ht="15.75" customHeight="1">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ht="15.75" customHeight="1">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ht="15.75" customHeight="1">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ht="15.75" customHeight="1">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ht="15.75" customHeight="1">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ht="15.75" customHeight="1">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ht="15.75" customHeight="1">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ht="15.75" customHeight="1">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ht="15.75" customHeight="1">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ht="15.75" customHeight="1">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ht="15.75" customHeight="1">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ht="15.75" customHeight="1">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ht="15.75" customHeight="1">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ht="15.75" customHeight="1">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ht="15.75" customHeight="1">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ht="15.75" customHeight="1">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ht="15.75" customHeight="1">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ht="15.75" customHeight="1">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ht="15.75" customHeight="1">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ht="15.75" customHeight="1">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ht="15.75" customHeight="1">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ht="15.75" customHeight="1">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ht="15.75" customHeight="1">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ht="15.75" customHeight="1">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ht="15.75" customHeight="1">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ht="15.75" customHeight="1">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ht="15.75" customHeight="1">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ht="15.75" customHeight="1">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ht="15.75" customHeight="1">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ht="15.75" customHeight="1">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ht="15.75" customHeight="1">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ht="15.75" customHeight="1">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ht="15.75" customHeight="1">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ht="15.75" customHeight="1">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ht="15.75" customHeight="1">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ht="15.75" customHeight="1">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ht="15.75" customHeight="1">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ht="15.75" customHeight="1">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ht="15.75" customHeight="1">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ht="15.75" customHeight="1">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ht="15.75" customHeight="1">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ht="15.75" customHeight="1">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ht="15.75" customHeight="1">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ht="15.75" customHeight="1">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ht="15.75" customHeight="1">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ht="15.75" customHeight="1">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ht="15.75" customHeight="1">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ht="15.75" customHeight="1">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ht="15.75" customHeight="1">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ht="15.75" customHeight="1">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ht="15.75" customHeight="1">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ht="15.75" customHeight="1">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ht="15.75" customHeight="1">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ht="15.75" customHeight="1">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ht="15.75" customHeight="1">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ht="15.75" customHeight="1">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ht="15.75" customHeight="1">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ht="15.75" customHeight="1">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ht="15.75" customHeight="1">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ht="15.75" customHeight="1">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ht="15.75" customHeight="1">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ht="15.75" customHeight="1">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ht="15.75" customHeight="1">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ht="15.75" customHeight="1">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ht="15.75" customHeight="1">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ht="15.75" customHeight="1">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ht="15.75" customHeight="1">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ht="15.75" customHeight="1">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ht="15.75" customHeight="1">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ht="15.75" customHeight="1">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ht="15.75" customHeight="1">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ht="15.75" customHeight="1">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ht="15.75" customHeight="1">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ht="15.75" customHeight="1">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ht="15.75" customHeight="1">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ht="15.75" customHeight="1">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ht="15.75" customHeight="1">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ht="15.75" customHeight="1">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ht="15.75" customHeight="1">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ht="15.75" customHeight="1">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ht="15.75" customHeight="1">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ht="15.75" customHeight="1">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ht="15.75" customHeight="1">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ht="15.75" customHeight="1">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ht="15.75" customHeight="1">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ht="15.75" customHeight="1">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ht="15.75" customHeight="1">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ht="15.75" customHeight="1">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ht="15.75" customHeight="1">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ht="15.75" customHeight="1">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ht="15.75" customHeight="1">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ht="15.75" customHeight="1">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ht="15.75" customHeight="1">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ht="15.75" customHeight="1">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ht="15.75" customHeight="1">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ht="15.75" customHeight="1">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ht="15.75" customHeight="1">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ht="15.75" customHeight="1">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ht="15.75" customHeight="1">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ht="15.75" customHeight="1">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ht="15.75" customHeight="1">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ht="15.75" customHeight="1">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ht="15.75" customHeight="1">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ht="15.75" customHeight="1">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ht="15.75" customHeight="1">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ht="15.75" customHeight="1">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ht="15.75" customHeight="1">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ht="15.75" customHeight="1">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ht="15.75" customHeight="1">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ht="15.75" customHeight="1">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ht="15.75" customHeight="1">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ht="15.75" customHeight="1">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ht="15.75" customHeight="1">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ht="15.75" customHeight="1">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ht="15.75" customHeight="1">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ht="15.75" customHeight="1">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ht="15.75" customHeight="1">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ht="15.75" customHeight="1">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ht="15.75" customHeight="1">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ht="15.75" customHeight="1">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ht="15.75" customHeight="1">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ht="15.75" customHeight="1">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ht="15.75" customHeight="1">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ht="15.75" customHeight="1">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ht="15.75" customHeight="1">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ht="15.75" customHeight="1">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ht="15.75" customHeight="1">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ht="15.75" customHeight="1">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ht="15.75" customHeight="1">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ht="15.75" customHeight="1">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ht="15.75" customHeight="1">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ht="15.75" customHeight="1">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ht="15.75" customHeight="1">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ht="15.75" customHeight="1">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ht="15.75" customHeight="1">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ht="15.75" customHeight="1">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ht="15.75" customHeight="1">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ht="15.75" customHeight="1">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ht="15.75" customHeight="1">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ht="15.75" customHeight="1">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ht="15.75" customHeight="1">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ht="15.75" customHeight="1">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ht="15.75" customHeight="1">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ht="15.75" customHeight="1">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ht="15.75" customHeight="1">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ht="15.75" customHeight="1">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ht="15.75" customHeight="1">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ht="15.75" customHeight="1">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ht="15.75" customHeight="1">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ht="15.75" customHeight="1">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ht="15.75" customHeight="1">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ht="15.75" customHeight="1">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ht="15.75" customHeight="1">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ht="15.75" customHeight="1">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ht="15.75" customHeight="1">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ht="15.75" customHeight="1">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ht="15.75" customHeight="1">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ht="15.75" customHeight="1">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ht="15.75" customHeight="1">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ht="15.75" customHeight="1">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ht="15.75" customHeight="1">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ht="15.75" customHeight="1">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ht="15.75" customHeight="1">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ht="15.75" customHeight="1">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ht="15.75" customHeight="1">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ht="15.75" customHeight="1">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ht="15.75" customHeight="1">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ht="15.75" customHeight="1">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ht="15.75" customHeight="1">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ht="15.75" customHeight="1">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ht="15.75" customHeight="1">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ht="15.75" customHeight="1">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ht="15.75" customHeight="1">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ht="15.75" customHeight="1">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ht="15.75" customHeight="1">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ht="15.75" customHeight="1">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ht="15.75" customHeight="1">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ht="15.75" customHeight="1">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ht="15.75" customHeight="1">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ht="15.75" customHeight="1">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ht="15.75" customHeight="1">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ht="15.75" customHeight="1">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ht="15.75" customHeight="1">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ht="15.75" customHeight="1">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ht="15.75" customHeight="1">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ht="15.75" customHeight="1">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ht="15.75" customHeight="1">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ht="15.75" customHeight="1">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ht="15.75" customHeight="1">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ht="15.75" customHeight="1">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ht="15.75" customHeight="1">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ht="15.75" customHeight="1">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ht="15.75" customHeight="1">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ht="15.75" customHeight="1">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ht="15.75" customHeight="1">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ht="15.75" customHeight="1">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ht="15.75" customHeight="1">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ht="15.75" customHeight="1">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ht="15.75" customHeight="1">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ht="15.75" customHeight="1">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ht="15.75" customHeight="1">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ht="15.75" customHeight="1">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ht="15.75" customHeight="1">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ht="15.75" customHeight="1">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ht="15.75" customHeight="1">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ht="15.75" customHeight="1">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ht="15.75" customHeight="1">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ht="15.75" customHeight="1">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ht="15.75" customHeight="1">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ht="15.75" customHeight="1">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ht="15.75" customHeight="1">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ht="15.75" customHeight="1">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ht="15.75" customHeight="1">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ht="15.75" customHeight="1">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ht="15.75" customHeight="1">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ht="15.75" customHeight="1">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ht="15.75" customHeight="1">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ht="15.75" customHeight="1">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ht="15.75" customHeight="1">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ht="15.75" customHeight="1">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ht="15.75" customHeight="1">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ht="15.75" customHeight="1">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ht="15.75" customHeight="1">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ht="15.75" customHeight="1">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ht="15.75" customHeight="1">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ht="15.75" customHeight="1">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ht="15.75" customHeight="1">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ht="15.75" customHeight="1">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ht="15.75" customHeight="1">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ht="15.75" customHeight="1">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ht="15.75" customHeight="1">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ht="15.75" customHeight="1">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ht="15.75" customHeight="1">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ht="15.75" customHeight="1">
      <c r="A989" s="67"/>
      <c r="B989" s="67"/>
      <c r="C989" s="67"/>
      <c r="D989" s="67"/>
      <c r="E989" s="67"/>
      <c r="F989" s="67"/>
      <c r="G989" s="67"/>
      <c r="H989" s="67"/>
      <c r="I989" s="67"/>
      <c r="J989" s="67"/>
      <c r="K989" s="67"/>
      <c r="L989" s="67"/>
      <c r="M989" s="67"/>
      <c r="N989" s="67"/>
      <c r="O989" s="67"/>
      <c r="P989" s="67"/>
      <c r="Q989" s="67"/>
      <c r="R989" s="67"/>
      <c r="S989" s="67"/>
      <c r="T989" s="67"/>
      <c r="U989" s="67"/>
      <c r="V989" s="67"/>
      <c r="W989" s="67"/>
      <c r="X989" s="67"/>
      <c r="Y989" s="67"/>
      <c r="Z989" s="67"/>
    </row>
    <row r="990" ht="15.75" customHeight="1">
      <c r="A990" s="67"/>
      <c r="B990" s="67"/>
      <c r="C990" s="67"/>
      <c r="D990" s="67"/>
      <c r="E990" s="67"/>
      <c r="F990" s="67"/>
      <c r="G990" s="67"/>
      <c r="H990" s="67"/>
      <c r="I990" s="67"/>
      <c r="J990" s="67"/>
      <c r="K990" s="67"/>
      <c r="L990" s="67"/>
      <c r="M990" s="67"/>
      <c r="N990" s="67"/>
      <c r="O990" s="67"/>
      <c r="P990" s="67"/>
      <c r="Q990" s="67"/>
      <c r="R990" s="67"/>
      <c r="S990" s="67"/>
      <c r="T990" s="67"/>
      <c r="U990" s="67"/>
      <c r="V990" s="67"/>
      <c r="W990" s="67"/>
      <c r="X990" s="67"/>
      <c r="Y990" s="67"/>
      <c r="Z990" s="67"/>
    </row>
    <row r="991" ht="15.75" customHeight="1">
      <c r="A991" s="67"/>
      <c r="B991" s="67"/>
      <c r="C991" s="67"/>
      <c r="D991" s="67"/>
      <c r="E991" s="67"/>
      <c r="F991" s="67"/>
      <c r="G991" s="67"/>
      <c r="H991" s="67"/>
      <c r="I991" s="67"/>
      <c r="J991" s="67"/>
      <c r="K991" s="67"/>
      <c r="L991" s="67"/>
      <c r="M991" s="67"/>
      <c r="N991" s="67"/>
      <c r="O991" s="67"/>
      <c r="P991" s="67"/>
      <c r="Q991" s="67"/>
      <c r="R991" s="67"/>
      <c r="S991" s="67"/>
      <c r="T991" s="67"/>
      <c r="U991" s="67"/>
      <c r="V991" s="67"/>
      <c r="W991" s="67"/>
      <c r="X991" s="67"/>
      <c r="Y991" s="67"/>
      <c r="Z991" s="67"/>
    </row>
    <row r="992" ht="15.75" customHeight="1">
      <c r="A992" s="67"/>
      <c r="B992" s="67"/>
      <c r="C992" s="67"/>
      <c r="D992" s="67"/>
      <c r="E992" s="67"/>
      <c r="F992" s="67"/>
      <c r="G992" s="67"/>
      <c r="H992" s="67"/>
      <c r="I992" s="67"/>
      <c r="J992" s="67"/>
      <c r="K992" s="67"/>
      <c r="L992" s="67"/>
      <c r="M992" s="67"/>
      <c r="N992" s="67"/>
      <c r="O992" s="67"/>
      <c r="P992" s="67"/>
      <c r="Q992" s="67"/>
      <c r="R992" s="67"/>
      <c r="S992" s="67"/>
      <c r="T992" s="67"/>
      <c r="U992" s="67"/>
      <c r="V992" s="67"/>
      <c r="W992" s="67"/>
      <c r="X992" s="67"/>
      <c r="Y992" s="67"/>
      <c r="Z992" s="67"/>
    </row>
    <row r="993" ht="15.75" customHeight="1">
      <c r="A993" s="67"/>
      <c r="B993" s="67"/>
      <c r="C993" s="67"/>
      <c r="D993" s="67"/>
      <c r="E993" s="67"/>
      <c r="F993" s="67"/>
      <c r="G993" s="67"/>
      <c r="H993" s="67"/>
      <c r="I993" s="67"/>
      <c r="J993" s="67"/>
      <c r="K993" s="67"/>
      <c r="L993" s="67"/>
      <c r="M993" s="67"/>
      <c r="N993" s="67"/>
      <c r="O993" s="67"/>
      <c r="P993" s="67"/>
      <c r="Q993" s="67"/>
      <c r="R993" s="67"/>
      <c r="S993" s="67"/>
      <c r="T993" s="67"/>
      <c r="U993" s="67"/>
      <c r="V993" s="67"/>
      <c r="W993" s="67"/>
      <c r="X993" s="67"/>
      <c r="Y993" s="67"/>
      <c r="Z993" s="67"/>
    </row>
    <row r="994" ht="15.75" customHeight="1">
      <c r="A994" s="67"/>
      <c r="B994" s="67"/>
      <c r="C994" s="67"/>
      <c r="D994" s="67"/>
      <c r="E994" s="67"/>
      <c r="F994" s="67"/>
      <c r="G994" s="67"/>
      <c r="H994" s="67"/>
      <c r="I994" s="67"/>
      <c r="J994" s="67"/>
      <c r="K994" s="67"/>
      <c r="L994" s="67"/>
      <c r="M994" s="67"/>
      <c r="N994" s="67"/>
      <c r="O994" s="67"/>
      <c r="P994" s="67"/>
      <c r="Q994" s="67"/>
      <c r="R994" s="67"/>
      <c r="S994" s="67"/>
      <c r="T994" s="67"/>
      <c r="U994" s="67"/>
      <c r="V994" s="67"/>
      <c r="W994" s="67"/>
      <c r="X994" s="67"/>
      <c r="Y994" s="67"/>
      <c r="Z994" s="67"/>
    </row>
    <row r="995" ht="15.75" customHeight="1">
      <c r="A995" s="67"/>
      <c r="B995" s="67"/>
      <c r="C995" s="67"/>
      <c r="D995" s="67"/>
      <c r="E995" s="67"/>
      <c r="F995" s="67"/>
      <c r="G995" s="67"/>
      <c r="H995" s="67"/>
      <c r="I995" s="67"/>
      <c r="J995" s="67"/>
      <c r="K995" s="67"/>
      <c r="L995" s="67"/>
      <c r="M995" s="67"/>
      <c r="N995" s="67"/>
      <c r="O995" s="67"/>
      <c r="P995" s="67"/>
      <c r="Q995" s="67"/>
      <c r="R995" s="67"/>
      <c r="S995" s="67"/>
      <c r="T995" s="67"/>
      <c r="U995" s="67"/>
      <c r="V995" s="67"/>
      <c r="W995" s="67"/>
      <c r="X995" s="67"/>
      <c r="Y995" s="67"/>
      <c r="Z995" s="67"/>
    </row>
    <row r="996" ht="15.75" customHeight="1">
      <c r="A996" s="67"/>
      <c r="B996" s="67"/>
      <c r="C996" s="67"/>
      <c r="D996" s="67"/>
      <c r="E996" s="67"/>
      <c r="F996" s="67"/>
      <c r="G996" s="67"/>
      <c r="H996" s="67"/>
      <c r="I996" s="67"/>
      <c r="J996" s="67"/>
      <c r="K996" s="67"/>
      <c r="L996" s="67"/>
      <c r="M996" s="67"/>
      <c r="N996" s="67"/>
      <c r="O996" s="67"/>
      <c r="P996" s="67"/>
      <c r="Q996" s="67"/>
      <c r="R996" s="67"/>
      <c r="S996" s="67"/>
      <c r="T996" s="67"/>
      <c r="U996" s="67"/>
      <c r="V996" s="67"/>
      <c r="W996" s="67"/>
      <c r="X996" s="67"/>
      <c r="Y996" s="67"/>
      <c r="Z996" s="67"/>
    </row>
    <row r="997" ht="15.75" customHeight="1">
      <c r="A997" s="67"/>
      <c r="B997" s="67"/>
      <c r="C997" s="67"/>
      <c r="D997" s="67"/>
      <c r="E997" s="67"/>
      <c r="F997" s="67"/>
      <c r="G997" s="67"/>
      <c r="H997" s="67"/>
      <c r="I997" s="67"/>
      <c r="J997" s="67"/>
      <c r="K997" s="67"/>
      <c r="L997" s="67"/>
      <c r="M997" s="67"/>
      <c r="N997" s="67"/>
      <c r="O997" s="67"/>
      <c r="P997" s="67"/>
      <c r="Q997" s="67"/>
      <c r="R997" s="67"/>
      <c r="S997" s="67"/>
      <c r="T997" s="67"/>
      <c r="U997" s="67"/>
      <c r="V997" s="67"/>
      <c r="W997" s="67"/>
      <c r="X997" s="67"/>
      <c r="Y997" s="67"/>
      <c r="Z997" s="67"/>
    </row>
    <row r="998" ht="15.75" customHeight="1">
      <c r="A998" s="67"/>
      <c r="B998" s="67"/>
      <c r="C998" s="67"/>
      <c r="D998" s="67"/>
      <c r="E998" s="67"/>
      <c r="F998" s="67"/>
      <c r="G998" s="67"/>
      <c r="H998" s="67"/>
      <c r="I998" s="67"/>
      <c r="J998" s="67"/>
      <c r="K998" s="67"/>
      <c r="L998" s="67"/>
      <c r="M998" s="67"/>
      <c r="N998" s="67"/>
      <c r="O998" s="67"/>
      <c r="P998" s="67"/>
      <c r="Q998" s="67"/>
      <c r="R998" s="67"/>
      <c r="S998" s="67"/>
      <c r="T998" s="67"/>
      <c r="U998" s="67"/>
      <c r="V998" s="67"/>
      <c r="W998" s="67"/>
      <c r="X998" s="67"/>
      <c r="Y998" s="67"/>
      <c r="Z998" s="67"/>
    </row>
    <row r="999" ht="15.75" customHeight="1">
      <c r="A999" s="67"/>
      <c r="B999" s="67"/>
      <c r="C999" s="67"/>
      <c r="D999" s="67"/>
      <c r="E999" s="67"/>
      <c r="F999" s="67"/>
      <c r="G999" s="67"/>
      <c r="H999" s="67"/>
      <c r="I999" s="67"/>
      <c r="J999" s="67"/>
      <c r="K999" s="67"/>
      <c r="L999" s="67"/>
      <c r="M999" s="67"/>
      <c r="N999" s="67"/>
      <c r="O999" s="67"/>
      <c r="P999" s="67"/>
      <c r="Q999" s="67"/>
      <c r="R999" s="67"/>
      <c r="S999" s="67"/>
      <c r="T999" s="67"/>
      <c r="U999" s="67"/>
      <c r="V999" s="67"/>
      <c r="W999" s="67"/>
      <c r="X999" s="67"/>
      <c r="Y999" s="67"/>
      <c r="Z999" s="67"/>
    </row>
    <row r="1000" ht="15.75" customHeight="1">
      <c r="A1000" s="67"/>
      <c r="B1000" s="67"/>
      <c r="C1000" s="67"/>
      <c r="D1000" s="67"/>
      <c r="E1000" s="67"/>
      <c r="F1000" s="67"/>
      <c r="G1000" s="67"/>
      <c r="H1000" s="67"/>
      <c r="I1000" s="67"/>
      <c r="J1000" s="67"/>
      <c r="K1000" s="67"/>
      <c r="L1000" s="67"/>
      <c r="M1000" s="67"/>
      <c r="N1000" s="67"/>
      <c r="O1000" s="67"/>
      <c r="P1000" s="67"/>
      <c r="Q1000" s="67"/>
      <c r="R1000" s="67"/>
      <c r="S1000" s="67"/>
      <c r="T1000" s="67"/>
      <c r="U1000" s="67"/>
      <c r="V1000" s="67"/>
      <c r="W1000" s="67"/>
      <c r="X1000" s="67"/>
      <c r="Y1000" s="67"/>
      <c r="Z1000" s="67"/>
    </row>
  </sheetData>
  <mergeCells count="13">
    <mergeCell ref="A7:F7"/>
    <mergeCell ref="C8:F8"/>
    <mergeCell ref="A8:A9"/>
    <mergeCell ref="A14:A15"/>
    <mergeCell ref="B14:B15"/>
    <mergeCell ref="A1:F1"/>
    <mergeCell ref="A2:F2"/>
    <mergeCell ref="A3:A4"/>
    <mergeCell ref="B3:B4"/>
    <mergeCell ref="C3:F3"/>
    <mergeCell ref="B8:B9"/>
    <mergeCell ref="A13:F13"/>
    <mergeCell ref="C14:F14"/>
  </mergeCells>
  <printOptions/>
  <pageMargins bottom="0.75" footer="0.0" header="0.0" left="0.7" right="0.7" top="0.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14"/>
    <col customWidth="1" min="2" max="2" width="20.86"/>
    <col customWidth="1" min="3" max="5" width="41.14"/>
    <col customWidth="1" min="6" max="6" width="45.29"/>
    <col customWidth="1" min="7" max="26" width="8.71"/>
  </cols>
  <sheetData>
    <row r="1">
      <c r="A1" s="78" t="s">
        <v>23</v>
      </c>
      <c r="B1" s="78" t="s">
        <v>12</v>
      </c>
      <c r="C1" s="78" t="s">
        <v>99</v>
      </c>
      <c r="D1" s="78" t="s">
        <v>100</v>
      </c>
      <c r="E1" s="78" t="s">
        <v>101</v>
      </c>
      <c r="F1" s="78" t="s">
        <v>102</v>
      </c>
    </row>
    <row r="2">
      <c r="A2" s="79">
        <v>1.0</v>
      </c>
      <c r="B2" s="80" t="s">
        <v>13</v>
      </c>
      <c r="C2" s="80" t="s">
        <v>103</v>
      </c>
      <c r="D2" s="80" t="s">
        <v>104</v>
      </c>
      <c r="E2" s="80" t="s">
        <v>105</v>
      </c>
      <c r="F2" s="80" t="s">
        <v>16</v>
      </c>
    </row>
    <row r="3">
      <c r="A3" s="81">
        <v>2.0</v>
      </c>
      <c r="B3" s="82" t="s">
        <v>106</v>
      </c>
      <c r="C3" s="82" t="s">
        <v>107</v>
      </c>
      <c r="D3" s="82" t="s">
        <v>108</v>
      </c>
      <c r="E3" s="82" t="s">
        <v>109</v>
      </c>
      <c r="F3" s="82" t="s">
        <v>110</v>
      </c>
    </row>
    <row r="4">
      <c r="A4" s="81">
        <v>3.0</v>
      </c>
      <c r="B4" s="82" t="s">
        <v>111</v>
      </c>
      <c r="C4" s="82" t="s">
        <v>112</v>
      </c>
      <c r="D4" s="82" t="s">
        <v>113</v>
      </c>
      <c r="E4" s="82" t="s">
        <v>114</v>
      </c>
      <c r="F4" s="82" t="s">
        <v>115</v>
      </c>
    </row>
    <row r="5">
      <c r="A5" s="81">
        <v>4.0</v>
      </c>
      <c r="B5" s="82" t="s">
        <v>116</v>
      </c>
      <c r="C5" s="82" t="s">
        <v>117</v>
      </c>
      <c r="D5" s="82" t="s">
        <v>118</v>
      </c>
      <c r="E5" s="82" t="s">
        <v>119</v>
      </c>
      <c r="F5" s="82" t="s">
        <v>120</v>
      </c>
    </row>
    <row r="6">
      <c r="A6" s="81">
        <v>5.0</v>
      </c>
      <c r="B6" s="82" t="s">
        <v>121</v>
      </c>
      <c r="C6" s="82" t="s">
        <v>122</v>
      </c>
      <c r="D6" s="82" t="s">
        <v>123</v>
      </c>
      <c r="E6" s="82" t="s">
        <v>124</v>
      </c>
      <c r="F6" s="82" t="s">
        <v>125</v>
      </c>
    </row>
    <row r="7">
      <c r="A7" s="81">
        <v>6.0</v>
      </c>
      <c r="B7" s="82" t="s">
        <v>126</v>
      </c>
      <c r="C7" s="82" t="s">
        <v>127</v>
      </c>
      <c r="D7" s="82" t="s">
        <v>128</v>
      </c>
      <c r="E7" s="82" t="s">
        <v>129</v>
      </c>
      <c r="F7" s="82" t="s">
        <v>130</v>
      </c>
    </row>
    <row r="8">
      <c r="A8" s="81">
        <v>7.0</v>
      </c>
      <c r="B8" s="82" t="s">
        <v>131</v>
      </c>
      <c r="C8" s="82" t="s">
        <v>132</v>
      </c>
      <c r="D8" s="82" t="s">
        <v>133</v>
      </c>
      <c r="E8" s="82" t="s">
        <v>134</v>
      </c>
      <c r="F8" s="82" t="s">
        <v>135</v>
      </c>
    </row>
    <row r="9">
      <c r="A9" s="81">
        <v>8.0</v>
      </c>
      <c r="B9" s="82" t="s">
        <v>136</v>
      </c>
      <c r="C9" s="82" t="s">
        <v>137</v>
      </c>
      <c r="D9" s="82" t="s">
        <v>138</v>
      </c>
      <c r="E9" s="82" t="s">
        <v>139</v>
      </c>
      <c r="F9" s="82" t="s">
        <v>140</v>
      </c>
    </row>
    <row r="10">
      <c r="A10" s="81">
        <v>9.0</v>
      </c>
      <c r="B10" s="82" t="s">
        <v>141</v>
      </c>
      <c r="C10" s="82" t="s">
        <v>142</v>
      </c>
      <c r="D10" s="82" t="s">
        <v>143</v>
      </c>
      <c r="E10" s="82" t="s">
        <v>144</v>
      </c>
      <c r="F10" s="82" t="s">
        <v>145</v>
      </c>
    </row>
    <row r="11">
      <c r="A11" s="81">
        <v>10.0</v>
      </c>
      <c r="B11" s="82" t="s">
        <v>146</v>
      </c>
      <c r="C11" s="82" t="s">
        <v>147</v>
      </c>
      <c r="D11" s="82" t="s">
        <v>148</v>
      </c>
      <c r="E11" s="82" t="s">
        <v>149</v>
      </c>
      <c r="F11" s="82" t="s">
        <v>150</v>
      </c>
    </row>
    <row r="12">
      <c r="A12" s="81">
        <v>11.0</v>
      </c>
      <c r="B12" s="82" t="s">
        <v>151</v>
      </c>
      <c r="C12" s="82" t="s">
        <v>152</v>
      </c>
      <c r="D12" s="82" t="s">
        <v>153</v>
      </c>
      <c r="E12" s="82" t="s">
        <v>154</v>
      </c>
      <c r="F12" s="82" t="s">
        <v>155</v>
      </c>
    </row>
    <row r="13">
      <c r="A13" s="81">
        <v>12.0</v>
      </c>
      <c r="B13" s="82" t="s">
        <v>156</v>
      </c>
      <c r="C13" s="82" t="s">
        <v>157</v>
      </c>
      <c r="D13" s="82" t="s">
        <v>158</v>
      </c>
      <c r="E13" s="82" t="s">
        <v>159</v>
      </c>
      <c r="F13" s="82" t="s">
        <v>160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